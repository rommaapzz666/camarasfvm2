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851F8266-B9C9-435A-914A-58169E01EA4C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<sst xmlns="http://schemas.openxmlformats.org/spreadsheetml/2006/main" count="7332" uniqueCount="2289">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</sst>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8.2508250825082508E-2</c:v>
                      </c:pt>
                      <c:pt idx="23">
                        <c:v>0</c:v>
                      </c:pt>
                      <c:pt idx="24">
                        <c:v>8.2508250825082508E-2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0.24074074074074073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8.2508250825082508E-2</c:v>
                </c:pt>
                <c:pt idx="23">
                  <c:v>0</c:v>
                </c:pt>
                <c:pt idx="24">
                  <c:v>8.2508250825082508E-2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0.24074074074074073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0.13531353135313531</c:v>
                      </c:pt>
                      <c:pt idx="21">
                        <c:v>0.132013201320132</c:v>
                      </c:pt>
                      <c:pt idx="22">
                        <c:v>8.2508250825082508E-2</c:v>
                      </c:pt>
                      <c:pt idx="23">
                        <c:v>0</c:v>
                      </c:pt>
                      <c:pt idx="24">
                        <c:v>8.2508250825082508E-2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0.24074074074074073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0.13531353135313531</c:v>
                </c:pt>
                <c:pt idx="21">
                  <c:v>0.132013201320132</c:v>
                </c:pt>
                <c:pt idx="22">
                  <c:v>8.2508250825082508E-2</c:v>
                </c:pt>
                <c:pt idx="23">
                  <c:v>0</c:v>
                </c:pt>
                <c:pt idx="24">
                  <c:v>8.2508250825082508E-2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0.24074074074074073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J216" activePane="bottomRight" state="frozen"/>
      <selection pane="topRight" activeCell="M1" sqref="M1"/>
      <selection pane="bottomLeft" activeCell="A5" sqref="A5"/>
      <selection pane="bottomRight" activeCell="AK241" sqref="AK241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0.1407185628742515</v>
      </c>
      <c r="AG1" s="3">
        <f t="shared" si="1"/>
        <v>0.1368421052631579</v>
      </c>
      <c r="AH1" s="3">
        <f t="shared" si="1"/>
        <v>0.1276595744680851</v>
      </c>
      <c r="AI1" s="3">
        <f t="shared" si="1"/>
        <v>0.10730948678071539</v>
      </c>
      <c r="AJ1" s="3">
        <f t="shared" si="1"/>
        <v>0.11282843894899536</v>
      </c>
      <c r="AK1" s="3">
        <f t="shared" si="1"/>
        <v>0.13554216867469879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94</v>
      </c>
      <c r="AG3" s="126">
        <f t="shared" si="4"/>
        <v>91</v>
      </c>
      <c r="AH3" s="126">
        <f t="shared" si="4"/>
        <v>84</v>
      </c>
      <c r="AI3" s="126">
        <f t="shared" si="4"/>
        <v>69</v>
      </c>
      <c r="AJ3" s="126">
        <f t="shared" si="4"/>
        <v>73</v>
      </c>
      <c r="AK3" s="126">
        <f t="shared" si="4"/>
        <v>90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48</v>
      </c>
      <c r="AG4" s="10">
        <f>COUNTIFS(AG8:AG689, "=APAGADO",F8:F689,"=Fibra Optica")</f>
        <v>48</v>
      </c>
      <c r="AH4" s="10">
        <f>COUNTIFS(AH8:AH689, "=APAGADO",F8:F689,"=Fibra Optica")</f>
        <v>45</v>
      </c>
      <c r="AI4" s="10">
        <f>COUNTIFS(AI8:AI689, "=APAGADO",F8:F689,"=Fibra Optica")</f>
        <v>34</v>
      </c>
      <c r="AJ4" s="10">
        <f>COUNTIFS(AJ8:AJ689, "=APAGADO",F8:F689,"=Fibra Optica")</f>
        <v>30</v>
      </c>
      <c r="AK4" s="10">
        <f>COUNTIFS(AK8:AK689, "=APAGADO",F8:F689,"=Fibra Optica")</f>
        <v>43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3</v>
      </c>
      <c r="AG5" s="130">
        <f>COUNTIFS(AG8:AG689, "=APAGADO",F8:F689,"=RADIO")</f>
        <v>3</v>
      </c>
      <c r="AH5" s="130">
        <f>COUNTIFS(AH8:AH689, "=APAGADO",F8:F689,"=RADIO")</f>
        <v>3</v>
      </c>
      <c r="AI5" s="130">
        <f>COUNTIFS(AI8:AI689, "=APAGADO",F8:F689,"=RADIO")</f>
        <v>3</v>
      </c>
      <c r="AJ5" s="130">
        <f>COUNTIFS(AJ8:AJ689, "=APAGADO",F8:F689,"=RADIO")</f>
        <v>9</v>
      </c>
      <c r="AK5" s="130">
        <f>COUNTIFS(AK8:AK689, "=APAGADO",F8:F689,"=RADIO")</f>
        <v>9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15</v>
      </c>
      <c r="AG6" s="10">
        <f>COUNTIFS(AG8:AG689, "=APAGADO",F8:F689,"=PTO A FO")</f>
        <v>13</v>
      </c>
      <c r="AH6" s="10">
        <f>COUNTIFS(AH8:AH689, "=APAGADO",F8:F689,"=PTO A FO")</f>
        <v>13</v>
      </c>
      <c r="AI6" s="10">
        <f>COUNTIFS(AI8:AI689, "=APAGADO",F8:F689,"=PTO A FO")</f>
        <v>11</v>
      </c>
      <c r="AJ6" s="10">
        <f>COUNTIFS(AJ8:AJ689, "=APAGADO",F8:F689,"=PTO A FO")</f>
        <v>11</v>
      </c>
      <c r="AK6" s="10">
        <f>COUNTIFS(AK8:AK689, "=APAGADO",F8:F689,"=PTO A FO")</f>
        <v>14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7</v>
      </c>
      <c r="J8" s="147" t="s">
        <v>1665</v>
      </c>
      <c r="K8" s="31">
        <f t="shared" ref="K8:K85" si="6">COUNTIF(M8:AN8,"APAGADO")</f>
        <v>21</v>
      </c>
      <c r="L8" s="32">
        <f t="shared" ref="L8:L85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4</v>
      </c>
      <c r="J9" s="147" t="s">
        <v>1666</v>
      </c>
      <c r="K9" s="31">
        <f t="shared" si="6"/>
        <v>24</v>
      </c>
      <c r="L9" s="32">
        <f t="shared" si="7"/>
        <v>0.14285714285714285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7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5</v>
      </c>
      <c r="J19" s="147" t="s">
        <v>1675</v>
      </c>
      <c r="K19" s="31">
        <f t="shared" si="6"/>
        <v>23</v>
      </c>
      <c r="L19" s="32">
        <f t="shared" si="7"/>
        <v>0.17857142857142858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5</v>
      </c>
      <c r="J20" s="147" t="s">
        <v>1676</v>
      </c>
      <c r="K20" s="31">
        <f t="shared" si="6"/>
        <v>23</v>
      </c>
      <c r="L20" s="32">
        <f t="shared" si="7"/>
        <v>0.17857142857142858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26</v>
      </c>
      <c r="J24" s="147" t="s">
        <v>1680</v>
      </c>
      <c r="K24" s="31">
        <f t="shared" si="6"/>
        <v>2</v>
      </c>
      <c r="L24" s="32">
        <f t="shared" si="7"/>
        <v>0.9285714285714286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26</v>
      </c>
      <c r="J25" s="147" t="s">
        <v>1681</v>
      </c>
      <c r="K25" s="31">
        <f t="shared" si="6"/>
        <v>2</v>
      </c>
      <c r="L25" s="32">
        <f t="shared" si="7"/>
        <v>0.9285714285714286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26</v>
      </c>
      <c r="J26" s="147" t="s">
        <v>1682</v>
      </c>
      <c r="K26" s="31">
        <f t="shared" si="6"/>
        <v>2</v>
      </c>
      <c r="L26" s="32">
        <f t="shared" si="7"/>
        <v>0.9285714285714286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26</v>
      </c>
      <c r="J27" s="147" t="s">
        <v>1683</v>
      </c>
      <c r="K27" s="31">
        <f t="shared" si="6"/>
        <v>2</v>
      </c>
      <c r="L27" s="32">
        <f t="shared" si="7"/>
        <v>0.9285714285714286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4</v>
      </c>
      <c r="J34" s="147" t="s">
        <v>1687</v>
      </c>
      <c r="K34" s="134">
        <f t="shared" si="6"/>
        <v>24</v>
      </c>
      <c r="L34" s="135">
        <f t="shared" si="7"/>
        <v>0.14285714285714285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 t="s">
        <v>2286</v>
      </c>
      <c r="AG34" s="70" t="s">
        <v>2286</v>
      </c>
      <c r="AH34" s="136" t="s">
        <v>2286</v>
      </c>
      <c r="AI34" s="136" t="s">
        <v>2286</v>
      </c>
      <c r="AJ34" s="136" t="s">
        <v>2286</v>
      </c>
      <c r="AK34" s="136" t="s">
        <v>2286</v>
      </c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6</v>
      </c>
      <c r="J36" s="87" t="s">
        <v>2155</v>
      </c>
      <c r="K36" s="142">
        <f t="shared" si="6"/>
        <v>22</v>
      </c>
      <c r="L36" s="143">
        <f t="shared" si="7"/>
        <v>0.21428571428571427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 t="s">
        <v>2286</v>
      </c>
      <c r="AI36" s="70" t="s">
        <v>2286</v>
      </c>
      <c r="AJ36" s="70" t="s">
        <v>2286</v>
      </c>
      <c r="AK36" s="70" t="s">
        <v>2286</v>
      </c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27</v>
      </c>
      <c r="J44" s="153" t="s">
        <v>2245</v>
      </c>
      <c r="K44" s="31">
        <f t="shared" si="6"/>
        <v>1</v>
      </c>
      <c r="L44" s="32">
        <f t="shared" si="7"/>
        <v>0.9642857142857143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 t="s">
        <v>2286</v>
      </c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27</v>
      </c>
      <c r="J45" s="153" t="s">
        <v>2250</v>
      </c>
      <c r="K45" s="31">
        <f t="shared" si="6"/>
        <v>1</v>
      </c>
      <c r="L45" s="32">
        <f t="shared" si="7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26</v>
      </c>
      <c r="J74" s="147" t="s">
        <v>1716</v>
      </c>
      <c r="K74" s="31">
        <f t="shared" si="6"/>
        <v>2</v>
      </c>
      <c r="L74" s="32">
        <f t="shared" si="7"/>
        <v>0.9285714285714286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 t="s">
        <v>2286</v>
      </c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6</v>
      </c>
      <c r="J89" s="147" t="s">
        <v>1731</v>
      </c>
      <c r="K89" s="31">
        <f t="shared" si="9"/>
        <v>22</v>
      </c>
      <c r="L89" s="32">
        <f t="shared" si="10"/>
        <v>0.21428571428571427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 t="s">
        <v>2286</v>
      </c>
      <c r="AI89" s="70"/>
      <c r="AJ89" s="70" t="s">
        <v>2286</v>
      </c>
      <c r="AK89" s="70" t="s">
        <v>2286</v>
      </c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16</v>
      </c>
      <c r="J98" s="147" t="s">
        <v>1740</v>
      </c>
      <c r="K98" s="142">
        <f t="shared" si="9"/>
        <v>12</v>
      </c>
      <c r="L98" s="143">
        <f t="shared" si="10"/>
        <v>0.5714285714285714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 t="s">
        <v>2286</v>
      </c>
      <c r="AI98" s="70" t="s">
        <v>2286</v>
      </c>
      <c r="AJ98" s="70" t="s">
        <v>2286</v>
      </c>
      <c r="AK98" s="70" t="s">
        <v>2286</v>
      </c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5</v>
      </c>
      <c r="J99" s="147" t="s">
        <v>1741</v>
      </c>
      <c r="K99" s="142">
        <f t="shared" si="9"/>
        <v>23</v>
      </c>
      <c r="L99" s="143">
        <f t="shared" si="10"/>
        <v>0.17857142857142858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26</v>
      </c>
      <c r="J105" s="147" t="s">
        <v>1747</v>
      </c>
      <c r="K105" s="31">
        <f t="shared" si="9"/>
        <v>2</v>
      </c>
      <c r="L105" s="32">
        <f t="shared" si="10"/>
        <v>0.9285714285714286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 t="s">
        <v>2286</v>
      </c>
      <c r="AJ105" s="70" t="s">
        <v>2286</v>
      </c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7</v>
      </c>
      <c r="J120" s="147" t="s">
        <v>1761</v>
      </c>
      <c r="K120" s="142">
        <f t="shared" si="9"/>
        <v>21</v>
      </c>
      <c r="L120" s="143">
        <f t="shared" si="10"/>
        <v>0.25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 t="s">
        <v>2286</v>
      </c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27</v>
      </c>
      <c r="J126" s="147" t="s">
        <v>1767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16</v>
      </c>
      <c r="J130" s="147" t="s">
        <v>1771</v>
      </c>
      <c r="K130" s="31">
        <f t="shared" si="9"/>
        <v>12</v>
      </c>
      <c r="L130" s="32">
        <f t="shared" si="10"/>
        <v>0.5714285714285714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 t="s">
        <v>2286</v>
      </c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20</v>
      </c>
      <c r="J150" s="147" t="s">
        <v>1786</v>
      </c>
      <c r="K150" s="31">
        <f t="shared" si="9"/>
        <v>8</v>
      </c>
      <c r="L150" s="32">
        <f t="shared" si="10"/>
        <v>0.7142857142857143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 t="s">
        <v>2286</v>
      </c>
      <c r="AI150" s="70" t="s">
        <v>2286</v>
      </c>
      <c r="AJ150" s="70" t="s">
        <v>2286</v>
      </c>
      <c r="AK150" s="70" t="s">
        <v>2286</v>
      </c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23</v>
      </c>
      <c r="J151" s="87"/>
      <c r="K151" s="31">
        <f t="shared" si="9"/>
        <v>5</v>
      </c>
      <c r="L151" s="32">
        <f t="shared" si="10"/>
        <v>0.8214285714285714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 t="s">
        <v>2286</v>
      </c>
      <c r="AK151" s="70" t="s">
        <v>2286</v>
      </c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26</v>
      </c>
      <c r="J152" s="147" t="s">
        <v>1787</v>
      </c>
      <c r="K152" s="31">
        <f t="shared" si="9"/>
        <v>2</v>
      </c>
      <c r="L152" s="32">
        <f t="shared" si="10"/>
        <v>0.9285714285714286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 t="s">
        <v>2286</v>
      </c>
      <c r="AI152" s="70" t="s">
        <v>2286</v>
      </c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26</v>
      </c>
      <c r="J162" s="147" t="s">
        <v>1793</v>
      </c>
      <c r="K162" s="142">
        <f t="shared" si="9"/>
        <v>2</v>
      </c>
      <c r="L162" s="143">
        <f t="shared" si="10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26</v>
      </c>
      <c r="J163" s="147" t="s">
        <v>1794</v>
      </c>
      <c r="K163" s="142">
        <f t="shared" ref="K163:K239" si="12">COUNTIF(M163:AN163,"APAGADO")</f>
        <v>2</v>
      </c>
      <c r="L163" s="143">
        <f t="shared" ref="L163:L239" si="13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21</v>
      </c>
      <c r="J164" s="147" t="s">
        <v>1795</v>
      </c>
      <c r="K164" s="31">
        <f t="shared" si="12"/>
        <v>7</v>
      </c>
      <c r="L164" s="32">
        <f t="shared" si="13"/>
        <v>0.75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 t="s">
        <v>2286</v>
      </c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23</v>
      </c>
      <c r="J165" s="147" t="s">
        <v>1796</v>
      </c>
      <c r="K165" s="31">
        <f t="shared" si="12"/>
        <v>5</v>
      </c>
      <c r="L165" s="32">
        <f t="shared" si="13"/>
        <v>0.8214285714285714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26</v>
      </c>
      <c r="J166" s="147" t="s">
        <v>1797</v>
      </c>
      <c r="K166" s="31">
        <f t="shared" si="12"/>
        <v>2</v>
      </c>
      <c r="L166" s="32">
        <f t="shared" si="13"/>
        <v>0.9285714285714286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23</v>
      </c>
      <c r="J167" s="147" t="s">
        <v>1798</v>
      </c>
      <c r="K167" s="31">
        <f t="shared" si="12"/>
        <v>5</v>
      </c>
      <c r="L167" s="32">
        <f t="shared" si="13"/>
        <v>0.8214285714285714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6</v>
      </c>
      <c r="J168" s="147" t="s">
        <v>1799</v>
      </c>
      <c r="K168" s="31">
        <f t="shared" si="12"/>
        <v>22</v>
      </c>
      <c r="L168" s="32">
        <f t="shared" si="13"/>
        <v>0.21428571428571427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 t="s">
        <v>2286</v>
      </c>
      <c r="AI168" s="70" t="s">
        <v>2286</v>
      </c>
      <c r="AJ168" s="70" t="s">
        <v>2286</v>
      </c>
      <c r="AK168" s="70" t="s">
        <v>2286</v>
      </c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4</v>
      </c>
      <c r="J169" s="147" t="s">
        <v>1800</v>
      </c>
      <c r="K169" s="31">
        <f t="shared" si="12"/>
        <v>24</v>
      </c>
      <c r="L169" s="32">
        <f t="shared" si="13"/>
        <v>0.14285714285714285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18</v>
      </c>
      <c r="J175" s="147" t="s">
        <v>1806</v>
      </c>
      <c r="K175" s="142">
        <f t="shared" si="12"/>
        <v>10</v>
      </c>
      <c r="L175" s="143">
        <f t="shared" si="13"/>
        <v>0.6428571428571429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 t="s">
        <v>2286</v>
      </c>
      <c r="AI175" s="70" t="s">
        <v>2286</v>
      </c>
      <c r="AJ175" s="70" t="s">
        <v>2286</v>
      </c>
      <c r="AK175" s="70" t="s">
        <v>2286</v>
      </c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20</v>
      </c>
      <c r="J182" s="147" t="s">
        <v>1812</v>
      </c>
      <c r="K182" s="31">
        <f t="shared" si="12"/>
        <v>8</v>
      </c>
      <c r="L182" s="32">
        <f t="shared" si="13"/>
        <v>0.7142857142857143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 t="s">
        <v>2286</v>
      </c>
      <c r="AI182" s="70" t="s">
        <v>2286</v>
      </c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4</v>
      </c>
      <c r="J187" s="147" t="s">
        <v>1816</v>
      </c>
      <c r="K187" s="31">
        <f t="shared" si="12"/>
        <v>24</v>
      </c>
      <c r="L187" s="32">
        <f t="shared" si="13"/>
        <v>0.14285714285714285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 t="s">
        <v>2286</v>
      </c>
      <c r="AI187" s="70" t="s">
        <v>2286</v>
      </c>
      <c r="AJ187" s="70" t="s">
        <v>2286</v>
      </c>
      <c r="AK187" s="70" t="s">
        <v>2286</v>
      </c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7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27</v>
      </c>
      <c r="J191" s="147" t="s">
        <v>1818</v>
      </c>
      <c r="K191" s="31">
        <f t="shared" si="12"/>
        <v>1</v>
      </c>
      <c r="L191" s="32">
        <f t="shared" si="13"/>
        <v>0.9642857142857143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 t="s">
        <v>2286</v>
      </c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27</v>
      </c>
      <c r="J192" s="147" t="s">
        <v>1819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5</v>
      </c>
      <c r="J193" s="87"/>
      <c r="K193" s="138">
        <f t="shared" si="12"/>
        <v>23</v>
      </c>
      <c r="L193" s="139">
        <f t="shared" si="13"/>
        <v>0.17857142857142858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 t="s">
        <v>2286</v>
      </c>
      <c r="AG193" s="70" t="s">
        <v>2286</v>
      </c>
      <c r="AH193" s="140" t="s">
        <v>2286</v>
      </c>
      <c r="AI193" s="140" t="s">
        <v>2286</v>
      </c>
      <c r="AJ193" s="140" t="s">
        <v>2286</v>
      </c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4</v>
      </c>
      <c r="J194" s="147" t="s">
        <v>1820</v>
      </c>
      <c r="K194" s="142">
        <f t="shared" si="12"/>
        <v>24</v>
      </c>
      <c r="L194" s="143">
        <f t="shared" si="13"/>
        <v>0.14285714285714285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 t="s">
        <v>2286</v>
      </c>
      <c r="AI194" s="70" t="s">
        <v>2286</v>
      </c>
      <c r="AJ194" s="70" t="s">
        <v>2286</v>
      </c>
      <c r="AK194" s="70" t="s">
        <v>2286</v>
      </c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15</v>
      </c>
      <c r="J195" s="147" t="s">
        <v>1821</v>
      </c>
      <c r="K195" s="142">
        <f t="shared" si="12"/>
        <v>13</v>
      </c>
      <c r="L195" s="143">
        <f t="shared" si="13"/>
        <v>0.5357142857142857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 t="s">
        <v>2286</v>
      </c>
      <c r="AK195" s="70" t="s">
        <v>2286</v>
      </c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18</v>
      </c>
      <c r="J199" s="87"/>
      <c r="K199" s="31">
        <f t="shared" si="12"/>
        <v>10</v>
      </c>
      <c r="L199" s="32">
        <f t="shared" si="13"/>
        <v>0.6428571428571429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 t="s">
        <v>2286</v>
      </c>
      <c r="AG199" s="70" t="s">
        <v>2286</v>
      </c>
      <c r="AH199" s="93" t="s">
        <v>2286</v>
      </c>
      <c r="AI199" s="93" t="s">
        <v>2286</v>
      </c>
      <c r="AJ199" s="93" t="s">
        <v>2286</v>
      </c>
      <c r="AK199" s="93" t="s">
        <v>2286</v>
      </c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13</v>
      </c>
      <c r="J200" s="147" t="s">
        <v>1825</v>
      </c>
      <c r="K200" s="142">
        <f t="shared" si="12"/>
        <v>15</v>
      </c>
      <c r="L200" s="143">
        <f t="shared" si="13"/>
        <v>0.4642857142857143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 t="s">
        <v>2286</v>
      </c>
      <c r="AK200" s="70" t="s">
        <v>2286</v>
      </c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5</v>
      </c>
      <c r="J232" s="147" t="s">
        <v>1850</v>
      </c>
      <c r="K232" s="31">
        <f t="shared" si="12"/>
        <v>23</v>
      </c>
      <c r="L232" s="32">
        <f t="shared" si="13"/>
        <v>0.17857142857142858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 t="s">
        <v>2286</v>
      </c>
      <c r="AG232" s="70" t="s">
        <v>2286</v>
      </c>
      <c r="AH232" s="70" t="s">
        <v>2286</v>
      </c>
      <c r="AI232" s="70" t="s">
        <v>2286</v>
      </c>
      <c r="AJ232" s="70" t="s">
        <v>2286</v>
      </c>
      <c r="AK232" s="70" t="s">
        <v>2286</v>
      </c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19</v>
      </c>
      <c r="J233" s="147" t="s">
        <v>1851</v>
      </c>
      <c r="K233" s="31">
        <f t="shared" si="12"/>
        <v>9</v>
      </c>
      <c r="L233" s="32">
        <f t="shared" si="13"/>
        <v>0.6785714285714286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 t="s">
        <v>2286</v>
      </c>
      <c r="AG233" s="70" t="s">
        <v>2286</v>
      </c>
      <c r="AH233" s="70" t="s">
        <v>2286</v>
      </c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6</v>
      </c>
      <c r="J234" s="147" t="s">
        <v>1852</v>
      </c>
      <c r="K234" s="31">
        <f t="shared" si="12"/>
        <v>22</v>
      </c>
      <c r="L234" s="32">
        <f t="shared" si="13"/>
        <v>0.21428571428571427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 t="s">
        <v>2286</v>
      </c>
      <c r="AK234" s="70" t="s">
        <v>2286</v>
      </c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19</v>
      </c>
      <c r="J235" s="147" t="s">
        <v>1853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19</v>
      </c>
      <c r="J236" s="147" t="s">
        <v>1854</v>
      </c>
      <c r="K236" s="31">
        <f t="shared" si="12"/>
        <v>9</v>
      </c>
      <c r="L236" s="32">
        <f t="shared" si="13"/>
        <v>0.6785714285714286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22</v>
      </c>
      <c r="J240" s="147" t="s">
        <v>1858</v>
      </c>
      <c r="K240" s="31">
        <f t="shared" ref="K240:K309" si="15">COUNTIF(M240:AN240,"APAGADO")</f>
        <v>6</v>
      </c>
      <c r="L240" s="32">
        <f t="shared" ref="L240:L309" si="16">(I240)/(K240+I240)</f>
        <v>0.7857142857142857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 t="s">
        <v>2286</v>
      </c>
      <c r="AG240" s="70" t="s">
        <v>2286</v>
      </c>
      <c r="AH240" s="70" t="s">
        <v>2286</v>
      </c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9</v>
      </c>
      <c r="J241" s="147" t="s">
        <v>1859</v>
      </c>
      <c r="K241" s="31">
        <f t="shared" si="15"/>
        <v>19</v>
      </c>
      <c r="L241" s="32">
        <f t="shared" si="16"/>
        <v>0.32142857142857145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 t="s">
        <v>2286</v>
      </c>
      <c r="AI241" s="70" t="s">
        <v>2286</v>
      </c>
      <c r="AJ241" s="70" t="s">
        <v>2286</v>
      </c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19</v>
      </c>
      <c r="J242" s="147" t="s">
        <v>1860</v>
      </c>
      <c r="K242" s="31">
        <f t="shared" si="15"/>
        <v>9</v>
      </c>
      <c r="L242" s="32">
        <f t="shared" si="16"/>
        <v>0.6785714285714286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19</v>
      </c>
      <c r="J243" s="147" t="s">
        <v>1861</v>
      </c>
      <c r="K243" s="31">
        <f t="shared" si="15"/>
        <v>9</v>
      </c>
      <c r="L243" s="32">
        <f t="shared" si="16"/>
        <v>0.6785714285714286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19</v>
      </c>
      <c r="J245" s="147" t="s">
        <v>1863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9</v>
      </c>
      <c r="J246" s="147" t="s">
        <v>1864</v>
      </c>
      <c r="K246" s="31">
        <f t="shared" si="15"/>
        <v>19</v>
      </c>
      <c r="L246" s="32">
        <f t="shared" si="16"/>
        <v>0.32142857142857145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 t="s">
        <v>2286</v>
      </c>
      <c r="AI246" s="70"/>
      <c r="AJ246" s="70"/>
      <c r="AK246" s="70" t="s">
        <v>2286</v>
      </c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16</v>
      </c>
      <c r="J249" s="147" t="s">
        <v>1865</v>
      </c>
      <c r="K249" s="31">
        <f t="shared" si="15"/>
        <v>12</v>
      </c>
      <c r="L249" s="32">
        <f t="shared" si="16"/>
        <v>0.5714285714285714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 t="s">
        <v>2286</v>
      </c>
      <c r="AG249" s="70" t="s">
        <v>2286</v>
      </c>
      <c r="AH249" s="70" t="s">
        <v>2286</v>
      </c>
      <c r="AI249" s="70" t="s">
        <v>2286</v>
      </c>
      <c r="AJ249" s="70" t="s">
        <v>2286</v>
      </c>
      <c r="AK249" s="70" t="s">
        <v>2286</v>
      </c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19</v>
      </c>
      <c r="J260" s="147" t="s">
        <v>1874</v>
      </c>
      <c r="K260" s="31">
        <f t="shared" si="15"/>
        <v>9</v>
      </c>
      <c r="L260" s="32">
        <f t="shared" si="16"/>
        <v>0.6785714285714286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 t="s">
        <v>2286</v>
      </c>
      <c r="AG260" s="70" t="s">
        <v>2286</v>
      </c>
      <c r="AH260" s="70" t="s">
        <v>2286</v>
      </c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19</v>
      </c>
      <c r="J262" s="147" t="s">
        <v>1862</v>
      </c>
      <c r="K262" s="31">
        <f t="shared" si="15"/>
        <v>9</v>
      </c>
      <c r="L262" s="32">
        <f t="shared" si="16"/>
        <v>0.6785714285714286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 t="s">
        <v>2286</v>
      </c>
      <c r="AG262" s="70" t="s">
        <v>2286</v>
      </c>
      <c r="AH262" s="70" t="s">
        <v>2286</v>
      </c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8</v>
      </c>
      <c r="J264" s="147" t="s">
        <v>1877</v>
      </c>
      <c r="K264" s="31">
        <f t="shared" si="15"/>
        <v>20</v>
      </c>
      <c r="L264" s="32">
        <f t="shared" si="16"/>
        <v>0.2857142857142857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 t="s">
        <v>2286</v>
      </c>
      <c r="AH264" s="70" t="s">
        <v>2286</v>
      </c>
      <c r="AI264" s="70" t="s">
        <v>2286</v>
      </c>
      <c r="AJ264" s="70" t="s">
        <v>2286</v>
      </c>
      <c r="AK264" s="70" t="s">
        <v>2286</v>
      </c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19</v>
      </c>
      <c r="J266" s="147" t="s">
        <v>1879</v>
      </c>
      <c r="K266" s="31">
        <f t="shared" si="15"/>
        <v>9</v>
      </c>
      <c r="L266" s="32">
        <f t="shared" si="16"/>
        <v>0.6785714285714286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 t="s">
        <v>2286</v>
      </c>
      <c r="AH266" s="70" t="s">
        <v>2286</v>
      </c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4</v>
      </c>
      <c r="J281" s="147" t="s">
        <v>1891</v>
      </c>
      <c r="K281" s="31">
        <f t="shared" si="15"/>
        <v>24</v>
      </c>
      <c r="L281" s="32">
        <f t="shared" si="16"/>
        <v>0.14285714285714285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 t="s">
        <v>2286</v>
      </c>
      <c r="AG281" s="70" t="s">
        <v>2286</v>
      </c>
      <c r="AH281" s="70" t="s">
        <v>2286</v>
      </c>
      <c r="AI281" s="70" t="s">
        <v>2286</v>
      </c>
      <c r="AJ281" s="70" t="s">
        <v>2286</v>
      </c>
      <c r="AK281" s="70" t="s">
        <v>2286</v>
      </c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27</v>
      </c>
      <c r="J295" s="147" t="s">
        <v>1904</v>
      </c>
      <c r="K295" s="31">
        <f t="shared" si="15"/>
        <v>1</v>
      </c>
      <c r="L295" s="32">
        <f t="shared" si="16"/>
        <v>0.9642857142857143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 t="s">
        <v>2286</v>
      </c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4</v>
      </c>
      <c r="J296" s="147" t="s">
        <v>1905</v>
      </c>
      <c r="K296" s="31">
        <f t="shared" si="15"/>
        <v>24</v>
      </c>
      <c r="L296" s="32">
        <f t="shared" si="16"/>
        <v>0.14285714285714285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 t="s">
        <v>2286</v>
      </c>
      <c r="AG296" s="70" t="s">
        <v>2286</v>
      </c>
      <c r="AH296" s="70" t="s">
        <v>2286</v>
      </c>
      <c r="AI296" s="70" t="s">
        <v>2286</v>
      </c>
      <c r="AJ296" s="70" t="s">
        <v>2286</v>
      </c>
      <c r="AK296" s="70" t="s">
        <v>2286</v>
      </c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27</v>
      </c>
      <c r="J297" s="147" t="s">
        <v>1906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 t="s">
        <v>2286</v>
      </c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26</v>
      </c>
      <c r="J298" s="147" t="s">
        <v>1907</v>
      </c>
      <c r="K298" s="31">
        <f t="shared" si="15"/>
        <v>2</v>
      </c>
      <c r="L298" s="32">
        <f t="shared" si="16"/>
        <v>0.9285714285714286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 t="s">
        <v>2286</v>
      </c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26</v>
      </c>
      <c r="J299" s="147" t="s">
        <v>1908</v>
      </c>
      <c r="K299" s="31">
        <f t="shared" si="15"/>
        <v>2</v>
      </c>
      <c r="L299" s="32">
        <f t="shared" si="16"/>
        <v>0.9285714285714286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 t="s">
        <v>2286</v>
      </c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27</v>
      </c>
      <c r="J300" s="147" t="s">
        <v>1909</v>
      </c>
      <c r="K300" s="31">
        <f t="shared" si="15"/>
        <v>1</v>
      </c>
      <c r="L300" s="32">
        <f t="shared" si="16"/>
        <v>0.9642857142857143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 t="s">
        <v>2286</v>
      </c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4</v>
      </c>
      <c r="J308" s="147" t="s">
        <v>1916</v>
      </c>
      <c r="K308" s="142">
        <f t="shared" si="15"/>
        <v>24</v>
      </c>
      <c r="L308" s="143">
        <f t="shared" si="16"/>
        <v>0.14285714285714285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 t="s">
        <v>2286</v>
      </c>
      <c r="AG308" s="70" t="s">
        <v>2286</v>
      </c>
      <c r="AH308" s="70" t="s">
        <v>2286</v>
      </c>
      <c r="AI308" s="70" t="s">
        <v>2286</v>
      </c>
      <c r="AJ308" s="70" t="s">
        <v>2286</v>
      </c>
      <c r="AK308" s="70" t="s">
        <v>2286</v>
      </c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4</v>
      </c>
      <c r="J310" s="147" t="s">
        <v>1917</v>
      </c>
      <c r="K310" s="31">
        <f t="shared" ref="K310:K380" si="18">COUNTIF(M310:AN310,"APAGADO")</f>
        <v>24</v>
      </c>
      <c r="L310" s="32">
        <f t="shared" ref="L310:L380" si="19">(I310)/(K310+I310)</f>
        <v>0.14285714285714285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 t="s">
        <v>2286</v>
      </c>
      <c r="AG310" s="70" t="s">
        <v>2286</v>
      </c>
      <c r="AH310" s="70" t="s">
        <v>2286</v>
      </c>
      <c r="AI310" s="70" t="s">
        <v>2286</v>
      </c>
      <c r="AJ310" s="70" t="s">
        <v>2286</v>
      </c>
      <c r="AK310" s="70" t="s">
        <v>2286</v>
      </c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7</v>
      </c>
      <c r="J311" s="147" t="s">
        <v>1918</v>
      </c>
      <c r="K311" s="142">
        <f t="shared" si="18"/>
        <v>21</v>
      </c>
      <c r="L311" s="143">
        <f t="shared" si="19"/>
        <v>0.25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 t="s">
        <v>2286</v>
      </c>
      <c r="AH311" s="70" t="s">
        <v>2286</v>
      </c>
      <c r="AI311" s="70" t="s">
        <v>2286</v>
      </c>
      <c r="AJ311" s="70" t="s">
        <v>2286</v>
      </c>
      <c r="AK311" s="70" t="s">
        <v>2286</v>
      </c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7</v>
      </c>
      <c r="J312" s="87" t="s">
        <v>2195</v>
      </c>
      <c r="K312" s="142">
        <f t="shared" si="18"/>
        <v>21</v>
      </c>
      <c r="L312" s="143">
        <f t="shared" si="19"/>
        <v>0.25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 t="s">
        <v>2286</v>
      </c>
      <c r="AI312" s="70" t="s">
        <v>2286</v>
      </c>
      <c r="AJ312" s="70" t="s">
        <v>2286</v>
      </c>
      <c r="AK312" s="70" t="s">
        <v>2286</v>
      </c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7</v>
      </c>
      <c r="J313" s="147" t="s">
        <v>1919</v>
      </c>
      <c r="K313" s="142">
        <f t="shared" si="18"/>
        <v>21</v>
      </c>
      <c r="L313" s="143">
        <f t="shared" si="19"/>
        <v>0.25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 t="s">
        <v>2286</v>
      </c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4</v>
      </c>
      <c r="J314" s="147" t="s">
        <v>1920</v>
      </c>
      <c r="K314" s="31">
        <f t="shared" si="18"/>
        <v>24</v>
      </c>
      <c r="L314" s="32">
        <f t="shared" si="19"/>
        <v>0.14285714285714285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 t="s">
        <v>2286</v>
      </c>
      <c r="AI314" s="70" t="s">
        <v>2286</v>
      </c>
      <c r="AJ314" s="70" t="s">
        <v>2286</v>
      </c>
      <c r="AK314" s="70" t="s">
        <v>2286</v>
      </c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7</v>
      </c>
      <c r="J315" s="147" t="s">
        <v>1921</v>
      </c>
      <c r="K315" s="31">
        <f t="shared" si="18"/>
        <v>21</v>
      </c>
      <c r="L315" s="32">
        <f t="shared" si="19"/>
        <v>0.25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7</v>
      </c>
      <c r="J316" s="147" t="s">
        <v>1922</v>
      </c>
      <c r="K316" s="31">
        <f t="shared" si="18"/>
        <v>21</v>
      </c>
      <c r="L316" s="32">
        <f t="shared" si="19"/>
        <v>0.25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27</v>
      </c>
      <c r="J328" s="147" t="s">
        <v>1934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 t="s">
        <v>2286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27</v>
      </c>
      <c r="J329" s="147" t="s">
        <v>1935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 t="s">
        <v>2286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18</v>
      </c>
      <c r="J331" s="147" t="s">
        <v>2242</v>
      </c>
      <c r="K331" s="31">
        <f t="shared" si="18"/>
        <v>10</v>
      </c>
      <c r="L331" s="32">
        <f t="shared" si="19"/>
        <v>0.6428571428571429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 t="s">
        <v>2286</v>
      </c>
      <c r="AG331" s="70" t="s">
        <v>2286</v>
      </c>
      <c r="AH331" s="70" t="s">
        <v>2286</v>
      </c>
      <c r="AI331" s="70" t="s">
        <v>2286</v>
      </c>
      <c r="AJ331" s="70"/>
      <c r="AK331" s="70" t="s">
        <v>2286</v>
      </c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19</v>
      </c>
      <c r="J350" s="147" t="s">
        <v>1950</v>
      </c>
      <c r="K350" s="31">
        <f t="shared" si="18"/>
        <v>9</v>
      </c>
      <c r="L350" s="32">
        <f t="shared" si="19"/>
        <v>0.6785714285714286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 t="s">
        <v>2286</v>
      </c>
      <c r="AG350" s="70" t="s">
        <v>2286</v>
      </c>
      <c r="AH350" s="70" t="s">
        <v>2286</v>
      </c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26</v>
      </c>
      <c r="J374" s="147" t="s">
        <v>1970</v>
      </c>
      <c r="K374" s="31">
        <f t="shared" si="18"/>
        <v>2</v>
      </c>
      <c r="L374" s="32">
        <f t="shared" si="19"/>
        <v>0.9285714285714286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2286</v>
      </c>
      <c r="AG374" s="70" t="s">
        <v>2286</v>
      </c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4</v>
      </c>
      <c r="J375" s="73"/>
      <c r="K375" s="31">
        <f t="shared" si="18"/>
        <v>24</v>
      </c>
      <c r="L375" s="32">
        <f t="shared" si="19"/>
        <v>0.14285714285714285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 t="s">
        <v>2286</v>
      </c>
      <c r="AG375" s="70" t="s">
        <v>2286</v>
      </c>
      <c r="AH375" s="93" t="s">
        <v>2286</v>
      </c>
      <c r="AI375" s="93" t="s">
        <v>2286</v>
      </c>
      <c r="AJ375" s="93" t="s">
        <v>2286</v>
      </c>
      <c r="AK375" s="93" t="s">
        <v>2286</v>
      </c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7</v>
      </c>
      <c r="J381" s="147" t="s">
        <v>1976</v>
      </c>
      <c r="K381" s="31">
        <f t="shared" ref="K381:K462" si="21">COUNTIF(M381:AN381,"APAGADO")</f>
        <v>21</v>
      </c>
      <c r="L381" s="32">
        <f t="shared" ref="L381:L462" si="22">(I381)/(K381+I381)</f>
        <v>0.25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 t="s">
        <v>2286</v>
      </c>
      <c r="AG381" s="70" t="s">
        <v>2286</v>
      </c>
      <c r="AH381" s="70" t="s">
        <v>2286</v>
      </c>
      <c r="AI381" s="70" t="s">
        <v>2286</v>
      </c>
      <c r="AJ381" s="70" t="s">
        <v>2286</v>
      </c>
      <c r="AK381" s="70" t="s">
        <v>2286</v>
      </c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7</v>
      </c>
      <c r="J382" s="147" t="s">
        <v>1977</v>
      </c>
      <c r="K382" s="31">
        <f t="shared" si="21"/>
        <v>21</v>
      </c>
      <c r="L382" s="32">
        <f t="shared" si="22"/>
        <v>0.25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 t="s">
        <v>2286</v>
      </c>
      <c r="AH382" s="70" t="s">
        <v>2286</v>
      </c>
      <c r="AI382" s="70" t="s">
        <v>2286</v>
      </c>
      <c r="AJ382" s="70" t="s">
        <v>2286</v>
      </c>
      <c r="AK382" s="70" t="s">
        <v>2286</v>
      </c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19</v>
      </c>
      <c r="J383" s="147" t="s">
        <v>1978</v>
      </c>
      <c r="K383" s="31">
        <f t="shared" si="21"/>
        <v>9</v>
      </c>
      <c r="L383" s="32">
        <f t="shared" si="22"/>
        <v>0.6785714285714286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 t="s">
        <v>2286</v>
      </c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7</v>
      </c>
      <c r="J387" s="147" t="s">
        <v>1982</v>
      </c>
      <c r="K387" s="31">
        <f t="shared" si="21"/>
        <v>21</v>
      </c>
      <c r="L387" s="32">
        <f t="shared" si="22"/>
        <v>0.25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 t="s">
        <v>2286</v>
      </c>
      <c r="AK387" s="70" t="s">
        <v>2286</v>
      </c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4</v>
      </c>
      <c r="J388" s="147" t="s">
        <v>1983</v>
      </c>
      <c r="K388" s="31">
        <f t="shared" si="21"/>
        <v>24</v>
      </c>
      <c r="L388" s="32">
        <f t="shared" si="22"/>
        <v>0.14285714285714285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 t="s">
        <v>2286</v>
      </c>
      <c r="AH388" s="70" t="s">
        <v>2286</v>
      </c>
      <c r="AI388" s="70" t="s">
        <v>2286</v>
      </c>
      <c r="AJ388" s="70" t="s">
        <v>2286</v>
      </c>
      <c r="AK388" s="70" t="s">
        <v>2286</v>
      </c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4</v>
      </c>
      <c r="J389" s="147" t="s">
        <v>1984</v>
      </c>
      <c r="K389" s="31">
        <f t="shared" si="21"/>
        <v>24</v>
      </c>
      <c r="L389" s="32">
        <f t="shared" si="22"/>
        <v>0.14285714285714285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 t="s">
        <v>2286</v>
      </c>
      <c r="AH389" s="70" t="s">
        <v>2286</v>
      </c>
      <c r="AI389" s="70" t="s">
        <v>2286</v>
      </c>
      <c r="AJ389" s="70" t="s">
        <v>2286</v>
      </c>
      <c r="AK389" s="70" t="s">
        <v>2286</v>
      </c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6</v>
      </c>
      <c r="J393" s="87"/>
      <c r="K393" s="31">
        <f t="shared" si="21"/>
        <v>22</v>
      </c>
      <c r="L393" s="32">
        <f t="shared" si="22"/>
        <v>0.21428571428571427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 t="s">
        <v>2286</v>
      </c>
      <c r="AG393" s="84" t="s">
        <v>2286</v>
      </c>
      <c r="AH393" s="84" t="s">
        <v>2286</v>
      </c>
      <c r="AI393" s="84" t="s">
        <v>2286</v>
      </c>
      <c r="AJ393" s="84"/>
      <c r="AK393" s="84" t="s">
        <v>2286</v>
      </c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4</v>
      </c>
      <c r="J399" s="147" t="s">
        <v>1989</v>
      </c>
      <c r="K399" s="87">
        <f t="shared" si="21"/>
        <v>24</v>
      </c>
      <c r="L399" s="88">
        <f t="shared" si="22"/>
        <v>0.14285714285714285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 t="s">
        <v>2286</v>
      </c>
      <c r="AG399" s="89" t="s">
        <v>2286</v>
      </c>
      <c r="AH399" s="89" t="s">
        <v>2286</v>
      </c>
      <c r="AI399" s="89" t="s">
        <v>2286</v>
      </c>
      <c r="AJ399" s="89" t="s">
        <v>2286</v>
      </c>
      <c r="AK399" s="89" t="s">
        <v>2286</v>
      </c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4</v>
      </c>
      <c r="J401" s="147" t="s">
        <v>1990</v>
      </c>
      <c r="K401" s="31">
        <f t="shared" si="21"/>
        <v>24</v>
      </c>
      <c r="L401" s="32">
        <f t="shared" si="22"/>
        <v>0.14285714285714285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 t="s">
        <v>2286</v>
      </c>
      <c r="AG401" s="70" t="s">
        <v>2286</v>
      </c>
      <c r="AH401" s="70" t="s">
        <v>2286</v>
      </c>
      <c r="AI401" s="70" t="s">
        <v>2286</v>
      </c>
      <c r="AJ401" s="70" t="s">
        <v>2286</v>
      </c>
      <c r="AK401" s="70" t="s">
        <v>2286</v>
      </c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4</v>
      </c>
      <c r="J402" s="147" t="s">
        <v>1991</v>
      </c>
      <c r="K402" s="31">
        <f t="shared" si="21"/>
        <v>24</v>
      </c>
      <c r="L402" s="32">
        <f t="shared" si="22"/>
        <v>0.14285714285714285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 t="s">
        <v>2286</v>
      </c>
      <c r="AH402" s="70" t="s">
        <v>2286</v>
      </c>
      <c r="AI402" s="70" t="s">
        <v>2286</v>
      </c>
      <c r="AJ402" s="70" t="s">
        <v>2286</v>
      </c>
      <c r="AK402" s="70" t="s">
        <v>2286</v>
      </c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4</v>
      </c>
      <c r="J415" s="87"/>
      <c r="K415" s="31">
        <f t="shared" si="21"/>
        <v>24</v>
      </c>
      <c r="L415" s="32">
        <f t="shared" si="22"/>
        <v>0.14285714285714285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 t="s">
        <v>2286</v>
      </c>
      <c r="AG415" s="70" t="s">
        <v>2286</v>
      </c>
      <c r="AH415" s="93" t="s">
        <v>2286</v>
      </c>
      <c r="AI415" s="93" t="s">
        <v>2286</v>
      </c>
      <c r="AJ415" s="93" t="s">
        <v>2286</v>
      </c>
      <c r="AK415" s="93" t="s">
        <v>2286</v>
      </c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10</v>
      </c>
      <c r="J429" s="147" t="s">
        <v>2009</v>
      </c>
      <c r="K429" s="31">
        <f t="shared" si="21"/>
        <v>18</v>
      </c>
      <c r="L429" s="32">
        <f t="shared" si="22"/>
        <v>0.35714285714285715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 t="s">
        <v>2286</v>
      </c>
      <c r="AG429" s="70" t="s">
        <v>2286</v>
      </c>
      <c r="AH429" s="70" t="s">
        <v>2286</v>
      </c>
      <c r="AI429" s="70" t="s">
        <v>2286</v>
      </c>
      <c r="AJ429" s="70" t="s">
        <v>2286</v>
      </c>
      <c r="AK429" s="70" t="s">
        <v>2286</v>
      </c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10</v>
      </c>
      <c r="J430" s="147" t="s">
        <v>2010</v>
      </c>
      <c r="K430" s="31">
        <f t="shared" si="21"/>
        <v>18</v>
      </c>
      <c r="L430" s="32">
        <f t="shared" si="22"/>
        <v>0.35714285714285715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 t="s">
        <v>2286</v>
      </c>
      <c r="AH430" s="70" t="s">
        <v>2286</v>
      </c>
      <c r="AI430" s="70" t="s">
        <v>2286</v>
      </c>
      <c r="AJ430" s="70" t="s">
        <v>2286</v>
      </c>
      <c r="AK430" s="70" t="s">
        <v>2286</v>
      </c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27</v>
      </c>
      <c r="J431" s="147" t="s">
        <v>2011</v>
      </c>
      <c r="K431" s="142">
        <f t="shared" si="21"/>
        <v>1</v>
      </c>
      <c r="L431" s="143">
        <f t="shared" si="22"/>
        <v>0.9642857142857143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 t="s">
        <v>2286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26</v>
      </c>
      <c r="J433" s="87"/>
      <c r="K433" s="31">
        <f t="shared" si="21"/>
        <v>2</v>
      </c>
      <c r="L433" s="32">
        <f t="shared" si="22"/>
        <v>0.9285714285714286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 t="s">
        <v>2286</v>
      </c>
      <c r="AK433" s="70" t="s">
        <v>2286</v>
      </c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8</v>
      </c>
      <c r="J436" s="147" t="s">
        <v>2015</v>
      </c>
      <c r="K436" s="31">
        <f t="shared" si="21"/>
        <v>20</v>
      </c>
      <c r="L436" s="32">
        <f t="shared" si="22"/>
        <v>0.2857142857142857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 t="s">
        <v>2286</v>
      </c>
      <c r="AG436" s="70" t="s">
        <v>2286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26</v>
      </c>
      <c r="J437" s="87"/>
      <c r="K437" s="31">
        <f t="shared" si="21"/>
        <v>2</v>
      </c>
      <c r="L437" s="32">
        <f t="shared" si="22"/>
        <v>0.9285714285714286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 t="s">
        <v>2286</v>
      </c>
      <c r="AK437" s="70" t="s">
        <v>2286</v>
      </c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 t="s">
        <v>2286</v>
      </c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26</v>
      </c>
      <c r="J439" s="87"/>
      <c r="K439" s="31">
        <f t="shared" si="21"/>
        <v>2</v>
      </c>
      <c r="L439" s="32">
        <f t="shared" si="22"/>
        <v>0.9285714285714286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 t="s">
        <v>2286</v>
      </c>
      <c r="AK439" s="70" t="s">
        <v>2286</v>
      </c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26</v>
      </c>
      <c r="J440" s="87"/>
      <c r="K440" s="31">
        <f t="shared" si="21"/>
        <v>2</v>
      </c>
      <c r="L440" s="32">
        <f t="shared" si="22"/>
        <v>0.9285714285714286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 t="s">
        <v>2286</v>
      </c>
      <c r="AK440" s="70" t="s">
        <v>2286</v>
      </c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7</v>
      </c>
      <c r="J441" s="147" t="s">
        <v>2016</v>
      </c>
      <c r="K441" s="31">
        <f t="shared" si="21"/>
        <v>21</v>
      </c>
      <c r="L441" s="32">
        <f t="shared" si="22"/>
        <v>0.25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 t="s">
        <v>2286</v>
      </c>
      <c r="AI441" s="70" t="s">
        <v>2286</v>
      </c>
      <c r="AJ441" s="70" t="s">
        <v>2286</v>
      </c>
      <c r="AK441" s="70" t="s">
        <v>2286</v>
      </c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4</v>
      </c>
      <c r="J442" s="147" t="s">
        <v>2017</v>
      </c>
      <c r="K442" s="31">
        <f t="shared" si="21"/>
        <v>24</v>
      </c>
      <c r="L442" s="32">
        <f t="shared" si="22"/>
        <v>0.14285714285714285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 t="s">
        <v>2286</v>
      </c>
      <c r="AH442" s="70" t="s">
        <v>2286</v>
      </c>
      <c r="AI442" s="70" t="s">
        <v>2286</v>
      </c>
      <c r="AJ442" s="70" t="s">
        <v>2286</v>
      </c>
      <c r="AK442" s="70" t="s">
        <v>2286</v>
      </c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9</v>
      </c>
      <c r="J446" s="147" t="s">
        <v>2021</v>
      </c>
      <c r="K446" s="31">
        <f t="shared" si="21"/>
        <v>19</v>
      </c>
      <c r="L446" s="32">
        <f t="shared" si="22"/>
        <v>0.32142857142857145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 t="s">
        <v>2286</v>
      </c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9</v>
      </c>
      <c r="J447" s="147" t="s">
        <v>2022</v>
      </c>
      <c r="K447" s="31">
        <f t="shared" si="21"/>
        <v>19</v>
      </c>
      <c r="L447" s="32">
        <f t="shared" si="22"/>
        <v>0.32142857142857145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 t="s">
        <v>2286</v>
      </c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4</v>
      </c>
      <c r="J456" s="147" t="s">
        <v>2025</v>
      </c>
      <c r="K456" s="142">
        <f t="shared" si="21"/>
        <v>24</v>
      </c>
      <c r="L456" s="143">
        <f t="shared" si="22"/>
        <v>0.14285714285714285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 t="s">
        <v>2286</v>
      </c>
      <c r="AG456" s="70" t="s">
        <v>2286</v>
      </c>
      <c r="AH456" s="70" t="s">
        <v>2286</v>
      </c>
      <c r="AI456" s="70" t="s">
        <v>2286</v>
      </c>
      <c r="AJ456" s="70" t="s">
        <v>2286</v>
      </c>
      <c r="AK456" s="70" t="s">
        <v>2286</v>
      </c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4</v>
      </c>
      <c r="J457" s="147" t="s">
        <v>2026</v>
      </c>
      <c r="K457" s="142">
        <f t="shared" si="21"/>
        <v>24</v>
      </c>
      <c r="L457" s="143">
        <f t="shared" si="22"/>
        <v>0.14285714285714285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 t="s">
        <v>2286</v>
      </c>
      <c r="AH457" s="70" t="s">
        <v>2286</v>
      </c>
      <c r="AI457" s="70" t="s">
        <v>2286</v>
      </c>
      <c r="AJ457" s="70" t="s">
        <v>2286</v>
      </c>
      <c r="AK457" s="70" t="s">
        <v>2286</v>
      </c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4</v>
      </c>
      <c r="J458" s="87"/>
      <c r="K458" s="142">
        <f t="shared" si="21"/>
        <v>24</v>
      </c>
      <c r="L458" s="143">
        <f t="shared" si="22"/>
        <v>0.14285714285714285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 t="s">
        <v>2286</v>
      </c>
      <c r="AH458" s="70" t="s">
        <v>2286</v>
      </c>
      <c r="AI458" s="70" t="s">
        <v>2286</v>
      </c>
      <c r="AJ458" s="70" t="s">
        <v>2286</v>
      </c>
      <c r="AK458" s="70" t="s">
        <v>2286</v>
      </c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4</v>
      </c>
      <c r="J460" s="153"/>
      <c r="K460" s="142">
        <f t="shared" si="21"/>
        <v>24</v>
      </c>
      <c r="L460" s="143">
        <f t="shared" si="22"/>
        <v>0.14285714285714285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 t="s">
        <v>2286</v>
      </c>
      <c r="AH460" s="70" t="s">
        <v>2286</v>
      </c>
      <c r="AI460" s="70" t="s">
        <v>2286</v>
      </c>
      <c r="AJ460" s="70" t="s">
        <v>2286</v>
      </c>
      <c r="AK460" s="70" t="s">
        <v>2286</v>
      </c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19</v>
      </c>
      <c r="J461" s="147" t="s">
        <v>2027</v>
      </c>
      <c r="K461" s="31">
        <f t="shared" si="21"/>
        <v>9</v>
      </c>
      <c r="L461" s="32">
        <f t="shared" si="22"/>
        <v>0.6785714285714286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14</v>
      </c>
      <c r="J462" s="147" t="s">
        <v>2028</v>
      </c>
      <c r="K462" s="31">
        <f t="shared" si="21"/>
        <v>14</v>
      </c>
      <c r="L462" s="32">
        <f t="shared" si="22"/>
        <v>0.5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 t="s">
        <v>2286</v>
      </c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27</v>
      </c>
      <c r="J475" s="147" t="s">
        <v>2041</v>
      </c>
      <c r="K475" s="87">
        <f t="shared" si="24"/>
        <v>1</v>
      </c>
      <c r="L475" s="88">
        <f t="shared" si="25"/>
        <v>0.9642857142857143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 t="s">
        <v>2286</v>
      </c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14</v>
      </c>
      <c r="J496" s="147" t="s">
        <v>2053</v>
      </c>
      <c r="K496" s="31">
        <f t="shared" si="24"/>
        <v>14</v>
      </c>
      <c r="L496" s="32">
        <f t="shared" si="25"/>
        <v>0.5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 t="s">
        <v>2286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14</v>
      </c>
      <c r="J503" s="147" t="s">
        <v>2060</v>
      </c>
      <c r="K503" s="31">
        <f t="shared" si="24"/>
        <v>14</v>
      </c>
      <c r="L503" s="32">
        <f t="shared" si="25"/>
        <v>0.5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 t="s">
        <v>2286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14</v>
      </c>
      <c r="J508" s="147" t="s">
        <v>2065</v>
      </c>
      <c r="K508" s="31">
        <f t="shared" si="24"/>
        <v>14</v>
      </c>
      <c r="L508" s="32">
        <f t="shared" si="25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4</v>
      </c>
      <c r="J510" s="147" t="s">
        <v>2067</v>
      </c>
      <c r="K510" s="31">
        <f t="shared" si="24"/>
        <v>24</v>
      </c>
      <c r="L510" s="32">
        <f t="shared" si="25"/>
        <v>0.14285714285714285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 t="s">
        <v>2286</v>
      </c>
      <c r="AH510" s="70" t="s">
        <v>2286</v>
      </c>
      <c r="AI510" s="70" t="s">
        <v>2286</v>
      </c>
      <c r="AJ510" s="70" t="s">
        <v>2286</v>
      </c>
      <c r="AK510" s="70" t="s">
        <v>2286</v>
      </c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14</v>
      </c>
      <c r="J511" s="147" t="s">
        <v>2068</v>
      </c>
      <c r="K511" s="31">
        <f t="shared" si="24"/>
        <v>14</v>
      </c>
      <c r="L511" s="32">
        <f t="shared" si="25"/>
        <v>0.5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 t="s">
        <v>2286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14</v>
      </c>
      <c r="J514" s="147" t="s">
        <v>2070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15</v>
      </c>
      <c r="J515" s="147" t="s">
        <v>2071</v>
      </c>
      <c r="K515" s="31">
        <f t="shared" si="24"/>
        <v>13</v>
      </c>
      <c r="L515" s="32">
        <f t="shared" si="25"/>
        <v>0.5357142857142857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4</v>
      </c>
      <c r="J520" s="147" t="s">
        <v>2076</v>
      </c>
      <c r="K520" s="142">
        <f t="shared" si="24"/>
        <v>24</v>
      </c>
      <c r="L520" s="143">
        <f t="shared" si="25"/>
        <v>0.14285714285714285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 t="s">
        <v>2286</v>
      </c>
      <c r="AH520" s="70" t="s">
        <v>2286</v>
      </c>
      <c r="AI520" s="70" t="s">
        <v>2286</v>
      </c>
      <c r="AJ520" s="70" t="s">
        <v>2286</v>
      </c>
      <c r="AK520" s="70" t="s">
        <v>2286</v>
      </c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25</v>
      </c>
      <c r="J542" s="147" t="s">
        <v>2093</v>
      </c>
      <c r="K542" s="142">
        <f t="shared" si="27"/>
        <v>3</v>
      </c>
      <c r="L542" s="143">
        <f t="shared" si="28"/>
        <v>0.8928571428571429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 t="s">
        <v>2286</v>
      </c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13</v>
      </c>
      <c r="J547" s="87"/>
      <c r="K547" s="142">
        <f t="shared" si="27"/>
        <v>15</v>
      </c>
      <c r="L547" s="143">
        <f t="shared" si="28"/>
        <v>0.4642857142857143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 t="s">
        <v>2286</v>
      </c>
      <c r="AG547" s="70" t="s">
        <v>2286</v>
      </c>
      <c r="AH547" s="70"/>
      <c r="AI547" s="70"/>
      <c r="AJ547" s="70"/>
      <c r="AK547" s="70" t="s">
        <v>2286</v>
      </c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4</v>
      </c>
      <c r="J548" s="87" t="s">
        <v>2187</v>
      </c>
      <c r="K548" s="142">
        <f t="shared" si="27"/>
        <v>24</v>
      </c>
      <c r="L548" s="143">
        <f t="shared" si="28"/>
        <v>0.14285714285714285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 t="s">
        <v>2286</v>
      </c>
      <c r="AG548" s="70" t="s">
        <v>2286</v>
      </c>
      <c r="AH548" s="70" t="s">
        <v>2286</v>
      </c>
      <c r="AI548" s="70" t="s">
        <v>2286</v>
      </c>
      <c r="AJ548" s="70" t="s">
        <v>2286</v>
      </c>
      <c r="AK548" s="70" t="s">
        <v>2286</v>
      </c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8</v>
      </c>
      <c r="J549" s="87" t="s">
        <v>2183</v>
      </c>
      <c r="K549" s="31">
        <f t="shared" si="27"/>
        <v>20</v>
      </c>
      <c r="L549" s="32">
        <f t="shared" si="28"/>
        <v>0.2857142857142857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 t="s">
        <v>2286</v>
      </c>
      <c r="AH549" s="70" t="s">
        <v>2286</v>
      </c>
      <c r="AI549" s="70" t="s">
        <v>2286</v>
      </c>
      <c r="AJ549" s="70" t="s">
        <v>2286</v>
      </c>
      <c r="AK549" s="70" t="s">
        <v>2286</v>
      </c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5</v>
      </c>
      <c r="J551" s="87" t="s">
        <v>2184</v>
      </c>
      <c r="K551" s="31">
        <f t="shared" si="27"/>
        <v>23</v>
      </c>
      <c r="L551" s="32">
        <f t="shared" si="28"/>
        <v>0.17857142857142858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 t="s">
        <v>2286</v>
      </c>
      <c r="AH551" s="70" t="s">
        <v>2286</v>
      </c>
      <c r="AI551" s="70" t="s">
        <v>2286</v>
      </c>
      <c r="AJ551" s="70" t="s">
        <v>2286</v>
      </c>
      <c r="AK551" s="70" t="s">
        <v>2286</v>
      </c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4</v>
      </c>
      <c r="J559" s="147" t="s">
        <v>2103</v>
      </c>
      <c r="K559" s="31">
        <f t="shared" si="27"/>
        <v>24</v>
      </c>
      <c r="L559" s="32">
        <f t="shared" si="28"/>
        <v>0.14285714285714285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 t="s">
        <v>2286</v>
      </c>
      <c r="AG559" s="70" t="s">
        <v>2286</v>
      </c>
      <c r="AH559" s="70" t="s">
        <v>2286</v>
      </c>
      <c r="AI559" s="70" t="s">
        <v>2286</v>
      </c>
      <c r="AJ559" s="70" t="s">
        <v>2286</v>
      </c>
      <c r="AK559" s="70" t="s">
        <v>2286</v>
      </c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13</v>
      </c>
      <c r="J560" s="147" t="s">
        <v>2104</v>
      </c>
      <c r="K560" s="31">
        <f t="shared" si="27"/>
        <v>15</v>
      </c>
      <c r="L560" s="32">
        <f t="shared" si="28"/>
        <v>0.4642857142857143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 t="s">
        <v>2286</v>
      </c>
      <c r="AG560" s="70" t="s">
        <v>2286</v>
      </c>
      <c r="AH560" s="70" t="s">
        <v>2286</v>
      </c>
      <c r="AI560" s="70" t="s">
        <v>2286</v>
      </c>
      <c r="AJ560" s="70" t="s">
        <v>2286</v>
      </c>
      <c r="AK560" s="70" t="s">
        <v>2286</v>
      </c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13</v>
      </c>
      <c r="J561" s="147" t="s">
        <v>2105</v>
      </c>
      <c r="K561" s="31">
        <f t="shared" si="27"/>
        <v>15</v>
      </c>
      <c r="L561" s="32">
        <f t="shared" si="28"/>
        <v>0.4642857142857143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 t="s">
        <v>2286</v>
      </c>
      <c r="AH561" s="70" t="s">
        <v>2286</v>
      </c>
      <c r="AI561" s="70" t="s">
        <v>2286</v>
      </c>
      <c r="AJ561" s="70" t="s">
        <v>2286</v>
      </c>
      <c r="AK561" s="70" t="s">
        <v>2286</v>
      </c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13</v>
      </c>
      <c r="J562" s="147" t="s">
        <v>2106</v>
      </c>
      <c r="K562" s="31">
        <f t="shared" si="27"/>
        <v>15</v>
      </c>
      <c r="L562" s="32">
        <f t="shared" si="28"/>
        <v>0.4642857142857143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 t="s">
        <v>2286</v>
      </c>
      <c r="AH562" s="70" t="s">
        <v>2286</v>
      </c>
      <c r="AI562" s="70" t="s">
        <v>2286</v>
      </c>
      <c r="AJ562" s="70" t="s">
        <v>2286</v>
      </c>
      <c r="AK562" s="70" t="s">
        <v>2286</v>
      </c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13</v>
      </c>
      <c r="J563" s="147" t="s">
        <v>2107</v>
      </c>
      <c r="K563" s="31">
        <f t="shared" si="27"/>
        <v>15</v>
      </c>
      <c r="L563" s="32">
        <f t="shared" si="28"/>
        <v>0.4642857142857143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 t="s">
        <v>2286</v>
      </c>
      <c r="AH563" s="70" t="s">
        <v>2286</v>
      </c>
      <c r="AI563" s="70" t="s">
        <v>2286</v>
      </c>
      <c r="AJ563" s="70" t="s">
        <v>2286</v>
      </c>
      <c r="AK563" s="70" t="s">
        <v>2286</v>
      </c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4</v>
      </c>
      <c r="J577" s="147" t="s">
        <v>2114</v>
      </c>
      <c r="K577" s="142">
        <f t="shared" si="27"/>
        <v>24</v>
      </c>
      <c r="L577" s="143">
        <f t="shared" si="28"/>
        <v>0.14285714285714285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 t="s">
        <v>2286</v>
      </c>
      <c r="AG577" s="70" t="s">
        <v>2286</v>
      </c>
      <c r="AH577" s="70" t="s">
        <v>2286</v>
      </c>
      <c r="AI577" s="70" t="s">
        <v>2286</v>
      </c>
      <c r="AJ577" s="70" t="s">
        <v>2286</v>
      </c>
      <c r="AK577" s="70" t="s">
        <v>2286</v>
      </c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34 AQ8:AQ225 M35:AD35 AF35:AP35 M36:AP4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 t="str">
        <f>'RESUMEN TOTAL'!AI74</f>
        <v>APAGADO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 t="str">
        <f>'RESUMEN TOTAL'!AJ89</f>
        <v>APAGADO</v>
      </c>
      <c r="AD68" s="70" t="str">
        <f>'RESUMEN TOTAL'!AK89</f>
        <v>APAGADO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 t="str">
        <f>'RESUMEN TOTAL'!AH98</f>
        <v>APAGADO</v>
      </c>
      <c r="AB77" s="70" t="str">
        <f>'RESUMEN TOTAL'!AI98</f>
        <v>APAGADO</v>
      </c>
      <c r="AC77" s="70" t="str">
        <f>'RESUMEN TOTAL'!AJ98</f>
        <v>APAGADO</v>
      </c>
      <c r="AD77" s="70" t="str">
        <f>'RESUMEN TOTAL'!AK98</f>
        <v>APAGADO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 t="str">
        <f>'RESUMEN TOTAL'!AI105</f>
        <v>APAGADO</v>
      </c>
      <c r="AC84" s="70" t="str">
        <f>'RESUMEN TOTAL'!AJ105</f>
        <v>APAGADO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 t="str">
        <f>'RESUMEN TOTAL'!AH120</f>
        <v>APAGADO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 t="str">
        <f>'RESUMEN TOTAL'!AI130</f>
        <v>APAGADO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 t="str">
        <f>'RESUMEN TOTAL'!AH150</f>
        <v>APAGADO</v>
      </c>
      <c r="AB116" s="70" t="str">
        <f>'RESUMEN TOTAL'!AI150</f>
        <v>APAGADO</v>
      </c>
      <c r="AC116" s="70" t="str">
        <f>'RESUMEN TOTAL'!AJ150</f>
        <v>APAGADO</v>
      </c>
      <c r="AD116" s="70" t="str">
        <f>'RESUMEN TOTAL'!AK150</f>
        <v>APAGADO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 t="str">
        <f>'RESUMEN TOTAL'!AJ151</f>
        <v>APAGADO</v>
      </c>
      <c r="AD117" s="70" t="str">
        <f>'RESUMEN TOTAL'!AK151</f>
        <v>APAGADO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 t="str">
        <f>'RESUMEN TOTAL'!AH152</f>
        <v>APAGADO</v>
      </c>
      <c r="AB118" s="70" t="str">
        <f>'RESUMEN TOTAL'!AI152</f>
        <v>APAGADO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 t="str">
        <f>'RESUMEN TOTAL'!AK164</f>
        <v>APAGADO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 t="str">
        <f>'RESUMEN TOTAL'!AK165</f>
        <v>APAGADO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 t="str">
        <f>'RESUMEN TOTAL'!AK166</f>
        <v>APAGADO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 t="str">
        <f>'RESUMEN TOTAL'!AK167</f>
        <v>APAGADO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 t="str">
        <f>'RESUMEN TOTAL'!AH175</f>
        <v>APAGADO</v>
      </c>
      <c r="AB135" s="70" t="str">
        <f>'RESUMEN TOTAL'!AI175</f>
        <v>APAGADO</v>
      </c>
      <c r="AC135" s="70" t="str">
        <f>'RESUMEN TOTAL'!AJ175</f>
        <v>APAGADO</v>
      </c>
      <c r="AD135" s="70" t="str">
        <f>'RESUMEN TOTAL'!AK175</f>
        <v>APAGADO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 t="str">
        <f>'RESUMEN TOTAL'!AH182</f>
        <v>APAGADO</v>
      </c>
      <c r="AB142" s="70" t="str">
        <f>'RESUMEN TOTAL'!AI182</f>
        <v>APAGADO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 t="str">
        <f>'RESUMEN TOTAL'!AK191</f>
        <v>APAGADO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 t="str">
        <f>'RESUMEN TOTAL'!AK192</f>
        <v>APAGADO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 t="str">
        <f>'RESUMEN TOTAL'!AJ195</f>
        <v>APAGADO</v>
      </c>
      <c r="AD150" s="70" t="str">
        <f>'RESUMEN TOTAL'!AK195</f>
        <v>APAGADO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 t="str">
        <f>'RESUMEN TOTAL'!AH199</f>
        <v>APAGADO</v>
      </c>
      <c r="AB154" s="70" t="str">
        <f>'RESUMEN TOTAL'!AI199</f>
        <v>APAGADO</v>
      </c>
      <c r="AC154" s="70" t="str">
        <f>'RESUMEN TOTAL'!AJ199</f>
        <v>APAGADO</v>
      </c>
      <c r="AD154" s="70" t="str">
        <f>'RESUMEN TOTAL'!AK199</f>
        <v>APAGADO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 t="str">
        <f>'RESUMEN TOTAL'!AK200</f>
        <v>APAGADO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 t="str">
        <f>'RESUMEN TOTAL'!AF232</f>
        <v>APAGADO</v>
      </c>
      <c r="Z179" s="70" t="str">
        <f>'RESUMEN TOTAL'!AG232</f>
        <v>APAGADO</v>
      </c>
      <c r="AA179" s="70" t="str">
        <f>'RESUMEN TOTAL'!AH232</f>
        <v>APAGADO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 t="str">
        <f>'RESUMEN TOTAL'!AF233</f>
        <v>APAGADO</v>
      </c>
      <c r="Z180" s="70" t="str">
        <f>'RESUMEN TOTAL'!AG233</f>
        <v>APAGADO</v>
      </c>
      <c r="AA180" s="70" t="str">
        <f>'RESUMEN TOTAL'!AH233</f>
        <v>APAGADO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 t="str">
        <f>'RESUMEN TOTAL'!AF235</f>
        <v>APAGADO</v>
      </c>
      <c r="Z182" s="70" t="str">
        <f>'RESUMEN TOTAL'!AG235</f>
        <v>APAGADO</v>
      </c>
      <c r="AA182" s="70" t="str">
        <f>'RESUMEN TOTAL'!AH235</f>
        <v>APAGADO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 t="str">
        <f>'RESUMEN TOTAL'!AF236</f>
        <v>APAGADO</v>
      </c>
      <c r="Z183" s="70" t="str">
        <f>'RESUMEN TOTAL'!AG236</f>
        <v>APAGADO</v>
      </c>
      <c r="AA183" s="70" t="str">
        <f>'RESUMEN TOTAL'!AH236</f>
        <v>APAGADO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 t="str">
        <f>'RESUMEN TOTAL'!AF240</f>
        <v>APAGADO</v>
      </c>
      <c r="Z187" s="70" t="str">
        <f>'RESUMEN TOTAL'!AG240</f>
        <v>APAGADO</v>
      </c>
      <c r="AA187" s="70" t="str">
        <f>'RESUMEN TOTAL'!AH240</f>
        <v>APAGADO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 t="str">
        <f>'RESUMEN TOTAL'!AF241</f>
        <v>APAGADO</v>
      </c>
      <c r="Z188" s="70" t="str">
        <f>'RESUMEN TOTAL'!AG241</f>
        <v>APAGADO</v>
      </c>
      <c r="AA188" s="70" t="str">
        <f>'RESUMEN TOTAL'!AH241</f>
        <v>APAGADO</v>
      </c>
      <c r="AB188" s="70" t="str">
        <f>'RESUMEN TOTAL'!AI241</f>
        <v>APAGADO</v>
      </c>
      <c r="AC188" s="70" t="str">
        <f>'RESUMEN TOTAL'!AJ241</f>
        <v>APAGADO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 t="str">
        <f>'RESUMEN TOTAL'!AF242</f>
        <v>APAGADO</v>
      </c>
      <c r="Z189" s="70" t="str">
        <f>'RESUMEN TOTAL'!AG242</f>
        <v>APAGADO</v>
      </c>
      <c r="AA189" s="70" t="str">
        <f>'RESUMEN TOTAL'!AH242</f>
        <v>APAGADO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 t="str">
        <f>'RESUMEN TOTAL'!AF243</f>
        <v>APAGADO</v>
      </c>
      <c r="Z190" s="70" t="str">
        <f>'RESUMEN TOTAL'!AG243</f>
        <v>APAGADO</v>
      </c>
      <c r="AA190" s="70" t="str">
        <f>'RESUMEN TOTAL'!AH243</f>
        <v>APAGADO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 t="str">
        <f>'RESUMEN TOTAL'!AF245</f>
        <v>APAGADO</v>
      </c>
      <c r="Z192" s="70" t="str">
        <f>'RESUMEN TOTAL'!AG245</f>
        <v>APAGADO</v>
      </c>
      <c r="AA192" s="70" t="str">
        <f>'RESUMEN TOTAL'!AH245</f>
        <v>APAGADO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 t="str">
        <f>'RESUMEN TOTAL'!AF246</f>
        <v>APAGADO</v>
      </c>
      <c r="Z193" s="70" t="str">
        <f>'RESUMEN TOTAL'!AG246</f>
        <v>APAGADO</v>
      </c>
      <c r="AA193" s="70" t="str">
        <f>'RESUMEN TOTAL'!AH246</f>
        <v>APAGADO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 t="str">
        <f>'RESUMEN TOTAL'!AF249</f>
        <v>APAGADO</v>
      </c>
      <c r="Z196" s="70" t="str">
        <f>'RESUMEN TOTAL'!AG249</f>
        <v>APAGADO</v>
      </c>
      <c r="AA196" s="70" t="str">
        <f>'RESUMEN TOTAL'!AH249</f>
        <v>APAGADO</v>
      </c>
      <c r="AB196" s="70" t="str">
        <f>'RESUMEN TOTAL'!AI249</f>
        <v>APAGADO</v>
      </c>
      <c r="AC196" s="70" t="str">
        <f>'RESUMEN TOTAL'!AJ249</f>
        <v>APAGADO</v>
      </c>
      <c r="AD196" s="70" t="str">
        <f>'RESUMEN TOTAL'!AK249</f>
        <v>APAGADO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 t="str">
        <f>'RESUMEN TOTAL'!AF260</f>
        <v>APAGADO</v>
      </c>
      <c r="Z207" s="70" t="str">
        <f>'RESUMEN TOTAL'!AG260</f>
        <v>APAGADO</v>
      </c>
      <c r="AA207" s="70" t="str">
        <f>'RESUMEN TOTAL'!AH260</f>
        <v>APAGADO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 t="str">
        <f>'RESUMEN TOTAL'!AF262</f>
        <v>APAGADO</v>
      </c>
      <c r="Z209" s="70" t="str">
        <f>'RESUMEN TOTAL'!AG262</f>
        <v>APAGADO</v>
      </c>
      <c r="AA209" s="70" t="str">
        <f>'RESUMEN TOTAL'!AH262</f>
        <v>APAGADO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 t="str">
        <f>'RESUMEN TOTAL'!AF264</f>
        <v>APAGADO</v>
      </c>
      <c r="Z211" s="70" t="str">
        <f>'RESUMEN TOTAL'!AG264</f>
        <v>APAGADO</v>
      </c>
      <c r="AA211" s="70" t="str">
        <f>'RESUMEN TOTAL'!AH264</f>
        <v>APAGADO</v>
      </c>
      <c r="AB211" s="70" t="str">
        <f>'RESUMEN TOTAL'!AI264</f>
        <v>APAGADO</v>
      </c>
      <c r="AC211" s="70" t="str">
        <f>'RESUMEN TOTAL'!AJ264</f>
        <v>APAGADO</v>
      </c>
      <c r="AD211" s="70" t="str">
        <f>'RESUMEN TOTAL'!AK264</f>
        <v>APAGADO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 t="str">
        <f>'RESUMEN TOTAL'!AF266</f>
        <v>APAGADO</v>
      </c>
      <c r="Z213" s="70" t="str">
        <f>'RESUMEN TOTAL'!AG266</f>
        <v>APAGADO</v>
      </c>
      <c r="AA213" s="70" t="str">
        <f>'RESUMEN TOTAL'!AH266</f>
        <v>APAGADO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 t="str">
        <f>'RESUMEN TOTAL'!AK295</f>
        <v>APAGADO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 t="str">
        <f>'RESUMEN TOTAL'!AK297</f>
        <v>APAGADO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 t="str">
        <f>'RESUMEN TOTAL'!AK298</f>
        <v>APAGADO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 t="str">
        <f>'RESUMEN TOTAL'!AK299</f>
        <v>APAGADO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 t="str">
        <f>'RESUMEN TOTAL'!AK300</f>
        <v>APAGADO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 t="str">
        <f>'RESUMEN TOTAL'!AF315</f>
        <v>APAGADO</v>
      </c>
      <c r="Z255" s="70" t="str">
        <f>'RESUMEN TOTAL'!AG315</f>
        <v>APAGADO</v>
      </c>
      <c r="AA255" s="70" t="str">
        <f>'RESUMEN TOTAL'!AH315</f>
        <v>APAGADO</v>
      </c>
      <c r="AB255" s="70" t="str">
        <f>'RESUMEN TOTAL'!AI315</f>
        <v>APAGADO</v>
      </c>
      <c r="AC255" s="70" t="str">
        <f>'RESUMEN TOTAL'!AJ315</f>
        <v>APAGADO</v>
      </c>
      <c r="AD255" s="70" t="str">
        <f>'RESUMEN TOTAL'!AK315</f>
        <v>APAGADO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 t="str">
        <f>'RESUMEN TOTAL'!AF316</f>
        <v>APAGADO</v>
      </c>
      <c r="Z256" s="70" t="str">
        <f>'RESUMEN TOTAL'!AG316</f>
        <v>APAGADO</v>
      </c>
      <c r="AA256" s="70" t="str">
        <f>'RESUMEN TOTAL'!AH316</f>
        <v>APAGADO</v>
      </c>
      <c r="AB256" s="70" t="str">
        <f>'RESUMEN TOTAL'!AI316</f>
        <v>APAGADO</v>
      </c>
      <c r="AC256" s="70" t="str">
        <f>'RESUMEN TOTAL'!AJ316</f>
        <v>APAGADO</v>
      </c>
      <c r="AD256" s="70" t="str">
        <f>'RESUMEN TOTAL'!AK316</f>
        <v>APAGADO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 t="str">
        <f>'RESUMEN TOTAL'!AF350</f>
        <v>APAGADO</v>
      </c>
      <c r="Z281" s="70" t="str">
        <f>'RESUMEN TOTAL'!AG350</f>
        <v>APAGADO</v>
      </c>
      <c r="AA281" s="70" t="str">
        <f>'RESUMEN TOTAL'!AH350</f>
        <v>APAGADO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 t="str">
        <f>'RESUMEN TOTAL'!AF374</f>
        <v>APAGADO</v>
      </c>
      <c r="Z300" s="70" t="str">
        <f>'RESUMEN TOTAL'!AG374</f>
        <v>APAGADO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 t="str">
        <f>'RESUMEN TOTAL'!AF381</f>
        <v>APAGADO</v>
      </c>
      <c r="Z307" s="70" t="str">
        <f>'RESUMEN TOTAL'!AG381</f>
        <v>APAGADO</v>
      </c>
      <c r="AA307" s="70" t="str">
        <f>'RESUMEN TOTAL'!AH381</f>
        <v>APAGADO</v>
      </c>
      <c r="AB307" s="70" t="str">
        <f>'RESUMEN TOTAL'!AI381</f>
        <v>APAGADO</v>
      </c>
      <c r="AC307" s="70" t="str">
        <f>'RESUMEN TOTAL'!AJ381</f>
        <v>APAGADO</v>
      </c>
      <c r="AD307" s="70" t="str">
        <f>'RESUMEN TOTAL'!AK381</f>
        <v>APAGADO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 t="str">
        <f>'RESUMEN TOTAL'!AF382</f>
        <v>APAGADO</v>
      </c>
      <c r="Z308" s="70" t="str">
        <f>'RESUMEN TOTAL'!AG382</f>
        <v>APAGADO</v>
      </c>
      <c r="AA308" s="70" t="str">
        <f>'RESUMEN TOTAL'!AH382</f>
        <v>APAGADO</v>
      </c>
      <c r="AB308" s="70" t="str">
        <f>'RESUMEN TOTAL'!AI382</f>
        <v>APAGADO</v>
      </c>
      <c r="AC308" s="70" t="str">
        <f>'RESUMEN TOTAL'!AJ382</f>
        <v>APAGADO</v>
      </c>
      <c r="AD308" s="70" t="str">
        <f>'RESUMEN TOTAL'!AK382</f>
        <v>APAGADO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 t="str">
        <f>'RESUMEN TOTAL'!AJ383</f>
        <v>APAGADO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 t="str">
        <f>'RESUMEN TOTAL'!AF387</f>
        <v>APAGADO</v>
      </c>
      <c r="Z313" s="70" t="str">
        <f>'RESUMEN TOTAL'!AG387</f>
        <v>APAGADO</v>
      </c>
      <c r="AA313" s="70" t="str">
        <f>'RESUMEN TOTAL'!AH387</f>
        <v>APAGADO</v>
      </c>
      <c r="AB313" s="70" t="str">
        <f>'RESUMEN TOTAL'!AI387</f>
        <v>APAGADO</v>
      </c>
      <c r="AC313" s="70" t="str">
        <f>'RESUMEN TOTAL'!AJ387</f>
        <v>APAGADO</v>
      </c>
      <c r="AD313" s="70" t="str">
        <f>'RESUMEN TOTAL'!AK387</f>
        <v>APAGADO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 t="str">
        <f>'RESUMEN TOTAL'!AF429</f>
        <v>APAGADO</v>
      </c>
      <c r="Z340" s="70" t="str">
        <f>'RESUMEN TOTAL'!AG429</f>
        <v>APAGADO</v>
      </c>
      <c r="AA340" s="70" t="str">
        <f>'RESUMEN TOTAL'!AH429</f>
        <v>APAGADO</v>
      </c>
      <c r="AB340" s="70" t="str">
        <f>'RESUMEN TOTAL'!AI429</f>
        <v>APAGADO</v>
      </c>
      <c r="AC340" s="70" t="str">
        <f>'RESUMEN TOTAL'!AJ429</f>
        <v>APAGADO</v>
      </c>
      <c r="AD340" s="70" t="str">
        <f>'RESUMEN TOTAL'!AK429</f>
        <v>APAGADO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 t="str">
        <f>'RESUMEN TOTAL'!AF430</f>
        <v>APAGADO</v>
      </c>
      <c r="Z341" s="70" t="str">
        <f>'RESUMEN TOTAL'!AG430</f>
        <v>APAGADO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 t="str">
        <f>'RESUMEN TOTAL'!AF431</f>
        <v>APAGADO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 t="str">
        <f>'RESUMEN TOTAL'!AJ433</f>
        <v>APAGADO</v>
      </c>
      <c r="AD344" s="70" t="str">
        <f>'RESUMEN TOTAL'!AK433</f>
        <v>APAGADO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 t="str">
        <f>'RESUMEN TOTAL'!AJ437</f>
        <v>APAGADO</v>
      </c>
      <c r="AD348" s="70" t="str">
        <f>'RESUMEN TOTAL'!AK437</f>
        <v>APAGADO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 t="str">
        <f>'RESUMEN TOTAL'!AJ438</f>
        <v>APAGADO</v>
      </c>
      <c r="AD349" s="70" t="str">
        <f>'RESUMEN TOTAL'!AK438</f>
        <v>APAGADO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 t="str">
        <f>'RESUMEN TOTAL'!AJ439</f>
        <v>APAGADO</v>
      </c>
      <c r="AD350" s="70" t="str">
        <f>'RESUMEN TOTAL'!AK439</f>
        <v>APAGADO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 t="str">
        <f>'RESUMEN TOTAL'!AJ440</f>
        <v>APAGADO</v>
      </c>
      <c r="AD351" s="70" t="str">
        <f>'RESUMEN TOTAL'!AK440</f>
        <v>APAGADO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 t="str">
        <f>'RESUMEN TOTAL'!AF441</f>
        <v>APAGADO</v>
      </c>
      <c r="Z352" s="70" t="str">
        <f>'RESUMEN TOTAL'!AG441</f>
        <v>APAGADO</v>
      </c>
      <c r="AA352" s="70" t="str">
        <f>'RESUMEN TOTAL'!AH441</f>
        <v>APAGADO</v>
      </c>
      <c r="AB352" s="70" t="str">
        <f>'RESUMEN TOTAL'!AI441</f>
        <v>APAGADO</v>
      </c>
      <c r="AC352" s="70" t="str">
        <f>'RESUMEN TOTAL'!AJ441</f>
        <v>APAGADO</v>
      </c>
      <c r="AD352" s="70" t="str">
        <f>'RESUMEN TOTAL'!AK441</f>
        <v>APAGADO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 t="str">
        <f>'RESUMEN TOTAL'!AF446</f>
        <v>APAGADO</v>
      </c>
      <c r="Z357" s="70" t="str">
        <f>'RESUMEN TOTAL'!AG446</f>
        <v>APAGADO</v>
      </c>
      <c r="AA357" s="70" t="str">
        <f>'RESUMEN TOTAL'!AH446</f>
        <v>APAGADO</v>
      </c>
      <c r="AB357" s="70" t="str">
        <f>'RESUMEN TOTAL'!AI446</f>
        <v>APAGADO</v>
      </c>
      <c r="AC357" s="70" t="str">
        <f>'RESUMEN TOTAL'!AJ446</f>
        <v>APAGADO</v>
      </c>
      <c r="AD357" s="70" t="str">
        <f>'RESUMEN TOTAL'!AK446</f>
        <v>APAGADO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 t="str">
        <f>'RESUMEN TOTAL'!AF447</f>
        <v>APAGADO</v>
      </c>
      <c r="Z358" s="70" t="str">
        <f>'RESUMEN TOTAL'!AG447</f>
        <v>APAGADO</v>
      </c>
      <c r="AA358" s="70" t="str">
        <f>'RESUMEN TOTAL'!AH447</f>
        <v>APAGADO</v>
      </c>
      <c r="AB358" s="70" t="str">
        <f>'RESUMEN TOTAL'!AI447</f>
        <v>APAGADO</v>
      </c>
      <c r="AC358" s="70" t="str">
        <f>'RESUMEN TOTAL'!AJ447</f>
        <v>APAGADO</v>
      </c>
      <c r="AD358" s="70" t="str">
        <f>'RESUMEN TOTAL'!AK447</f>
        <v>APAGADO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 t="str">
        <f>'RESUMEN TOTAL'!AF461</f>
        <v>APAGADO</v>
      </c>
      <c r="Z364" s="70" t="str">
        <f>'RESUMEN TOTAL'!AG461</f>
        <v>APAGADO</v>
      </c>
      <c r="AA364" s="70" t="str">
        <f>'RESUMEN TOTAL'!AH461</f>
        <v>APAGADO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 t="str">
        <f>'RESUMEN TOTAL'!AF462</f>
        <v>APAGADO</v>
      </c>
      <c r="Z365" s="70" t="str">
        <f>'RESUMEN TOTAL'!AG462</f>
        <v>APAGADO</v>
      </c>
      <c r="AA365" s="70" t="str">
        <f>'RESUMEN TOTAL'!AH462</f>
        <v>APAGADO</v>
      </c>
      <c r="AB365" s="70" t="str">
        <f>'RESUMEN TOTAL'!AI462</f>
        <v>APAGADO</v>
      </c>
      <c r="AC365" s="70" t="str">
        <f>'RESUMEN TOTAL'!AJ462</f>
        <v>APAGADO</v>
      </c>
      <c r="AD365" s="70" t="str">
        <f>'RESUMEN TOTAL'!AK462</f>
        <v>APAGADO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 t="str">
        <f>'RESUMEN TOTAL'!AF496</f>
        <v>APAGADO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 t="str">
        <f>'RESUMEN TOTAL'!AF503</f>
        <v>APAGADO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 t="str">
        <f>'RESUMEN TOTAL'!AF508</f>
        <v>APAGADO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 t="str">
        <f>'RESUMEN TOTAL'!AF511</f>
        <v>APAGADO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 t="str">
        <f>'RESUMEN TOTAL'!AF514</f>
        <v>APAGADO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 t="str">
        <f>'RESUMEN TOTAL'!AF515</f>
        <v>APAGADO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 t="str">
        <f>'RESUMEN TOTAL'!AF520</f>
        <v>APAGADO</v>
      </c>
      <c r="Z417" s="70" t="str">
        <f>'RESUMEN TOTAL'!AG520</f>
        <v>APAGADO</v>
      </c>
      <c r="AA417" s="70" t="str">
        <f>'RESUMEN TOTAL'!AH520</f>
        <v>APAGADO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 t="str">
        <f>'RESUMEN TOTAL'!AG542</f>
        <v>APAGADO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 t="str">
        <f>'RESUMEN TOTAL'!AF549</f>
        <v>APAGADO</v>
      </c>
      <c r="Z436" s="70" t="str">
        <f>'RESUMEN TOTAL'!AG549</f>
        <v>APAGADO</v>
      </c>
      <c r="AA436" s="70" t="str">
        <f>'RESUMEN TOTAL'!AH549</f>
        <v>APAGADO</v>
      </c>
      <c r="AB436" s="70" t="str">
        <f>'RESUMEN TOTAL'!AI549</f>
        <v>APAGADO</v>
      </c>
      <c r="AC436" s="70" t="str">
        <f>'RESUMEN TOTAL'!AJ549</f>
        <v>APAGADO</v>
      </c>
      <c r="AD436" s="70" t="str">
        <f>'RESUMEN TOTAL'!AK549</f>
        <v>APAGADO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 t="str">
        <f>'RESUMEN TOTAL'!AF551</f>
        <v>APAGADO</v>
      </c>
      <c r="Z438" s="70" t="str">
        <f>'RESUMEN TOTAL'!AG551</f>
        <v>APAGADO</v>
      </c>
      <c r="AA438" s="70" t="str">
        <f>'RESUMEN TOTAL'!AH551</f>
        <v>APAGADO</v>
      </c>
      <c r="AB438" s="70" t="str">
        <f>'RESUMEN TOTAL'!AI551</f>
        <v>APAGADO</v>
      </c>
      <c r="AC438" s="70" t="str">
        <f>'RESUMEN TOTAL'!AJ551</f>
        <v>APAGADO</v>
      </c>
      <c r="AD438" s="70" t="str">
        <f>'RESUMEN TOTAL'!AK551</f>
        <v>APAGADO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 t="str">
        <f>'RESUMEN TOTAL'!AF560</f>
        <v>APAGADO</v>
      </c>
      <c r="Z446" s="70" t="str">
        <f>'RESUMEN TOTAL'!AG560</f>
        <v>APAGADO</v>
      </c>
      <c r="AA446" s="70" t="str">
        <f>'RESUMEN TOTAL'!AH560</f>
        <v>APAGADO</v>
      </c>
      <c r="AB446" s="70" t="str">
        <f>'RESUMEN TOTAL'!AI560</f>
        <v>APAGADO</v>
      </c>
      <c r="AC446" s="70" t="str">
        <f>'RESUMEN TOTAL'!AJ560</f>
        <v>APAGADO</v>
      </c>
      <c r="AD446" s="70" t="str">
        <f>'RESUMEN TOTAL'!AK560</f>
        <v>APAGADO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 t="str">
        <f>'RESUMEN TOTAL'!AF561</f>
        <v>APAGADO</v>
      </c>
      <c r="Z447" s="70" t="str">
        <f>'RESUMEN TOTAL'!AG561</f>
        <v>APAGADO</v>
      </c>
      <c r="AA447" s="70" t="str">
        <f>'RESUMEN TOTAL'!AH561</f>
        <v>APAGADO</v>
      </c>
      <c r="AB447" s="70" t="str">
        <f>'RESUMEN TOTAL'!AI561</f>
        <v>APAGADO</v>
      </c>
      <c r="AC447" s="70" t="str">
        <f>'RESUMEN TOTAL'!AJ561</f>
        <v>APAGADO</v>
      </c>
      <c r="AD447" s="70" t="str">
        <f>'RESUMEN TOTAL'!AK561</f>
        <v>APAGADO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 t="str">
        <f>'RESUMEN TOTAL'!AF562</f>
        <v>APAGADO</v>
      </c>
      <c r="Z448" s="70" t="str">
        <f>'RESUMEN TOTAL'!AG562</f>
        <v>APAGADO</v>
      </c>
      <c r="AA448" s="70" t="str">
        <f>'RESUMEN TOTAL'!AH562</f>
        <v>APAGADO</v>
      </c>
      <c r="AB448" s="70" t="str">
        <f>'RESUMEN TOTAL'!AI562</f>
        <v>APAGADO</v>
      </c>
      <c r="AC448" s="70" t="str">
        <f>'RESUMEN TOTAL'!AJ562</f>
        <v>APAGADO</v>
      </c>
      <c r="AD448" s="70" t="str">
        <f>'RESUMEN TOTAL'!AK562</f>
        <v>APAGADO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 t="str">
        <f>'RESUMEN TOTAL'!AF563</f>
        <v>APAGADO</v>
      </c>
      <c r="Z449" s="70" t="str">
        <f>'RESUMEN TOTAL'!AG563</f>
        <v>APAGADO</v>
      </c>
      <c r="AA449" s="70" t="str">
        <f>'RESUMEN TOTAL'!AH563</f>
        <v>APAGADO</v>
      </c>
      <c r="AB449" s="70" t="str">
        <f>'RESUMEN TOTAL'!AI563</f>
        <v>APAGADO</v>
      </c>
      <c r="AC449" s="70" t="str">
        <f>'RESUMEN TOTAL'!AJ563</f>
        <v>APAGADO</v>
      </c>
      <c r="AD449" s="70" t="str">
        <f>'RESUMEN TOTAL'!AK563</f>
        <v>APAGADO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 t="str">
        <f>'RESUMEN TOTAL'!AI577</f>
        <v>APAGADO</v>
      </c>
      <c r="AC460" s="70" t="str">
        <f>'RESUMEN TOTAL'!AJ577</f>
        <v>APAGADO</v>
      </c>
      <c r="AD460" s="70" t="str">
        <f>'RESUMEN TOTAL'!AK577</f>
        <v>APAGADO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E1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39</v>
      </c>
      <c r="Z3" s="46">
        <f>COUNTIFS('RESUMEN TOTAL'!AG8:AG689,"=APAGADO",'RESUMEN TOTAL'!C8:C689,"=BONOMO")</f>
        <v>41</v>
      </c>
      <c r="AA3" s="46">
        <f>COUNTIFS('RESUMEN TOTAL'!AH8:AH689,"=APAGADO",'RESUMEN TOTAL'!C8:C689,"=BONOMO")</f>
        <v>40</v>
      </c>
      <c r="AB3" s="46">
        <f>COUNTIFS('RESUMEN TOTAL'!AI8:AI689,"=APAGADO",'RESUMEN TOTAL'!C8:C689,"=BONOMO")</f>
        <v>25</v>
      </c>
      <c r="AC3" s="46">
        <f>COUNTIFS('RESUMEN TOTAL'!AJ8:AJ689,"=APAGADO",'RESUMEN TOTAL'!C8:C689,"=BONOMO")</f>
        <v>26</v>
      </c>
      <c r="AD3" s="46">
        <f>COUNTIFS('RESUMEN TOTAL'!AK8:AK689,"=APAGADO",'RESUMEN TOTAL'!C8:C689,"=BONOMO")</f>
        <v>25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0.12871287128712872</v>
      </c>
      <c r="Z4" s="50">
        <f t="shared" si="0"/>
        <v>0.13531353135313531</v>
      </c>
      <c r="AA4" s="50">
        <f t="shared" si="0"/>
        <v>0.132013201320132</v>
      </c>
      <c r="AB4" s="50">
        <f t="shared" si="0"/>
        <v>8.2508250825082508E-2</v>
      </c>
      <c r="AC4" s="50">
        <v>0</v>
      </c>
      <c r="AD4" s="50">
        <f t="shared" si="0"/>
        <v>8.2508250825082508E-2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55</v>
      </c>
      <c r="Z5" s="46">
        <f>COUNTIFS('RESUMEN TOTAL'!AG10:AG691,"=APAGADO",'RESUMEN TOTAL'!C10:C691,"=COSEIDI")</f>
        <v>50</v>
      </c>
      <c r="AA5" s="46">
        <f>COUNTIFS('RESUMEN TOTAL'!AH10:AH691,"=APAGADO",'RESUMEN TOTAL'!C10:C691,"=COSEIDI")</f>
        <v>44</v>
      </c>
      <c r="AB5" s="46">
        <f>COUNTIFS('RESUMEN TOTAL'!AI10:AI691,"=APAGADO",'RESUMEN TOTAL'!C10:C691,"=COSEIDI")</f>
        <v>44</v>
      </c>
      <c r="AC5" s="46">
        <f>COUNTIFS('RESUMEN TOTAL'!AJ10:AJ691,"=APAGADO",'RESUMEN TOTAL'!C10:C691,"=COSEIDI")</f>
        <v>47</v>
      </c>
      <c r="AD5" s="46">
        <f>COUNTIFS('RESUMEN TOTAL'!AK10:AK691,"=APAGADO",'RESUMEN TOTAL'!C10:C691,"=COSEIDI")</f>
        <v>65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0.18518518518518517</v>
      </c>
      <c r="AA6" s="50">
        <f t="shared" si="1"/>
        <v>0.16296296296296298</v>
      </c>
      <c r="AB6" s="50">
        <f t="shared" si="1"/>
        <v>0.16296296296296298</v>
      </c>
      <c r="AC6" s="50">
        <v>0</v>
      </c>
      <c r="AD6" s="50">
        <f t="shared" si="1"/>
        <v>0.24074074074074073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28" zoomScale="84" zoomScaleNormal="84" workbookViewId="0">
      <selection activeCell="B246" sqref="B246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0.16376306620209058</v>
      </c>
      <c r="F212" s="155"/>
    </row>
    <row r="213" spans="2:6" x14ac:dyDescent="0.3">
      <c r="B213" s="53" t="s">
        <v>1242</v>
      </c>
      <c r="C213" s="67">
        <v>3</v>
      </c>
      <c r="D213" s="103">
        <f>C212-C213</f>
        <v>91</v>
      </c>
      <c r="E213" s="55">
        <f>D213/C211</f>
        <v>0.15853658536585366</v>
      </c>
      <c r="F213" s="155"/>
    </row>
    <row r="214" spans="2:6" x14ac:dyDescent="0.3">
      <c r="B214" s="53" t="s">
        <v>1243</v>
      </c>
      <c r="C214" s="67">
        <v>3</v>
      </c>
      <c r="D214" s="103">
        <f>D213-C214</f>
        <v>88</v>
      </c>
      <c r="E214" s="55">
        <f>D214/C211</f>
        <v>0.15331010452961671</v>
      </c>
      <c r="F214" s="155"/>
    </row>
    <row r="215" spans="2:6" x14ac:dyDescent="0.3">
      <c r="B215" s="53" t="s">
        <v>16</v>
      </c>
      <c r="C215" s="94">
        <v>3</v>
      </c>
      <c r="D215" s="103">
        <f>D214-C215</f>
        <v>85</v>
      </c>
      <c r="E215" s="55">
        <f>D215/C211</f>
        <v>0.1480836236933798</v>
      </c>
      <c r="F215" s="155"/>
    </row>
    <row r="216" spans="2:6" ht="15" thickBot="1" x14ac:dyDescent="0.35">
      <c r="B216" s="56"/>
      <c r="C216" s="131">
        <v>0</v>
      </c>
      <c r="D216" s="104"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39</v>
      </c>
      <c r="E218" s="105">
        <f>D218/C218</f>
        <v>0.12828947368421054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55</v>
      </c>
      <c r="E219" s="114">
        <f>D219/C219</f>
        <v>0.20370370370370369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0.15853658536585366</v>
      </c>
      <c r="F224" s="155"/>
    </row>
    <row r="225" spans="2:6" x14ac:dyDescent="0.3">
      <c r="B225" s="53" t="s">
        <v>1242</v>
      </c>
      <c r="C225" s="67">
        <v>5</v>
      </c>
      <c r="D225" s="103">
        <f>C224-C225</f>
        <v>86</v>
      </c>
      <c r="E225" s="55">
        <f>D225/C223</f>
        <v>0.14982578397212543</v>
      </c>
      <c r="F225" s="155"/>
    </row>
    <row r="226" spans="2:6" x14ac:dyDescent="0.3">
      <c r="B226" s="53" t="s">
        <v>1243</v>
      </c>
      <c r="C226" s="67">
        <v>3</v>
      </c>
      <c r="D226" s="103">
        <v>83</v>
      </c>
      <c r="E226" s="55">
        <f>D226/C223</f>
        <v>0.14459930313588851</v>
      </c>
      <c r="F226" s="155"/>
    </row>
    <row r="227" spans="2:6" x14ac:dyDescent="0.3">
      <c r="B227" s="53" t="s">
        <v>16</v>
      </c>
      <c r="C227" s="94">
        <f>'RESUMEN TOTAL'!AG5</f>
        <v>3</v>
      </c>
      <c r="D227" s="103">
        <v>80</v>
      </c>
      <c r="E227" s="55">
        <f>D227/C223</f>
        <v>0.13937282229965156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41</v>
      </c>
      <c r="E230" s="105">
        <f>D230/C230</f>
        <v>0.13486842105263158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50</v>
      </c>
      <c r="E231" s="114">
        <f>D231/C231</f>
        <v>0.18518518518518517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0.12020905923344948</v>
      </c>
      <c r="F248" s="155"/>
    </row>
    <row r="249" spans="2:6" x14ac:dyDescent="0.3">
      <c r="B249" s="53" t="s">
        <v>1242</v>
      </c>
      <c r="C249" s="67">
        <v>5</v>
      </c>
      <c r="D249" s="103">
        <v>64</v>
      </c>
      <c r="E249" s="55">
        <f>D249/C247</f>
        <v>0.11149825783972125</v>
      </c>
      <c r="F249" s="155"/>
    </row>
    <row r="250" spans="2:6" x14ac:dyDescent="0.3">
      <c r="B250" s="53" t="s">
        <v>1243</v>
      </c>
      <c r="C250" s="67">
        <v>3</v>
      </c>
      <c r="D250" s="103">
        <v>61</v>
      </c>
      <c r="E250" s="55">
        <f>D250/C247</f>
        <v>0.10627177700348432</v>
      </c>
      <c r="F250" s="155"/>
    </row>
    <row r="251" spans="2:6" x14ac:dyDescent="0.3">
      <c r="B251" s="53" t="s">
        <v>16</v>
      </c>
      <c r="C251" s="94">
        <v>3</v>
      </c>
      <c r="D251" s="103">
        <v>58</v>
      </c>
      <c r="E251" s="55">
        <f>D251/C247</f>
        <v>0.10104529616724739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25</v>
      </c>
      <c r="E254" s="105">
        <f>D254/C254</f>
        <v>8.2236842105263164E-2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44</v>
      </c>
      <c r="E255" s="114">
        <f>D255/C255</f>
        <v>0.16296296296296298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2026-01-26T10:54:03Z</dcterms:modified>
</cp:coreProperties>
</file>