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398737C0-5204-484E-A399-AA9514001661}" xr6:coauthVersionLast="47" xr6:coauthVersionMax="47" xr10:uidLastSave="{00000000-0000-0000-0000-000000000000}"/>
  <bookViews>
    <workbookView xWindow="-108" yWindow="-108" windowWidth="23256" windowHeight="1245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5" l="1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<sst xmlns="http://schemas.openxmlformats.org/spreadsheetml/2006/main" count="6313" uniqueCount="2326">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</sst>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R1192"/>
  <sheetViews>
    <sheetView tabSelected="1" zoomScale="80" zoomScaleNormal="80" zoomScaleSheetLayoutView="100" workbookViewId="0">
      <pane xSplit="13" ySplit="7" topLeftCell="AD116" activePane="bottomRight" state="frozen"/>
      <selection pane="topRight" activeCell="M1" sqref="M1"/>
      <selection pane="bottomLeft" activeCell="A5" sqref="A5"/>
      <selection pane="bottomRight" activeCell="A132" sqref="A132:XFD132"/>
    </sheetView>
  </sheetViews>
  <sheetFormatPr baseColWidth="10" defaultColWidth="11.5546875" defaultRowHeight="14.4" x14ac:dyDescent="0.3"/>
  <cols>
    <col min="1" max="1" width="17.33203125" hidden="1" customWidth="1"/>
    <col min="2" max="2" width="54.109375" style="30" customWidth="1"/>
    <col min="3" max="3" width="15.88671875" style="30" customWidth="1"/>
    <col min="4" max="4" width="43.5546875" customWidth="1"/>
    <col min="5" max="5" width="20.5546875" style="61" customWidth="1"/>
    <col min="6" max="6" width="16.88671875" style="65" customWidth="1"/>
    <col min="7" max="7" width="12.109375" style="65" hidden="1" customWidth="1"/>
    <col min="8" max="8" width="15.88671875" style="65" customWidth="1"/>
    <col min="9" max="9" width="15.88671875" style="65" hidden="1" customWidth="1"/>
    <col min="10" max="10" width="28.109375" hidden="1" customWidth="1"/>
    <col min="11" max="11" width="22.44140625" hidden="1" customWidth="1"/>
    <col min="12" max="12" width="19.109375" hidden="1" customWidth="1"/>
    <col min="13" max="13" width="20.33203125" style="4" hidden="1" customWidth="1"/>
    <col min="14" max="14" width="21.109375" style="14" customWidth="1"/>
    <col min="15" max="18" width="14.44140625" style="14" customWidth="1"/>
    <col min="19" max="19" width="13.44140625" style="14" customWidth="1"/>
    <col min="20" max="22" width="14.44140625" style="14" customWidth="1"/>
    <col min="23" max="32" width="14.109375" style="14" customWidth="1"/>
    <col min="33" max="33" width="11.88671875" style="14" customWidth="1"/>
    <col min="34" max="34" width="11.5546875" style="14" customWidth="1"/>
    <col min="35" max="35" width="11" style="14" customWidth="1"/>
    <col min="36" max="36" width="11.109375" style="14" customWidth="1"/>
    <col min="37" max="39" width="14.109375" style="14" customWidth="1"/>
    <col min="40" max="42" width="14.109375" style="14" bestFit="1" customWidth="1"/>
    <col min="43" max="44" width="14.88671875" style="14" customWidth="1"/>
  </cols>
  <sheetData>
    <row r="1" spans="1:44" s="4" customFormat="1" ht="17.25" customHeight="1" thickTop="1" x14ac:dyDescent="0.3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" thickBot="1" x14ac:dyDescent="0.35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" thickTop="1" x14ac:dyDescent="0.3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3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5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4">
      <c r="A7" s="35" t="s">
        <v>7</v>
      </c>
      <c r="B7" s="116" t="s">
        <v>2325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2321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" hidden="1" thickBot="1" x14ac:dyDescent="0.35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28</v>
      </c>
      <c r="K8" s="146" t="s">
        <v>1655</v>
      </c>
      <c r="L8" s="31">
        <f t="shared" ref="L8:L86" si="7">COUNTIF(N8:AO8,"APAGADO")</f>
        <v>0</v>
      </c>
      <c r="M8" s="32">
        <f t="shared" ref="M8:M86" si="8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" hidden="1" thickBot="1" x14ac:dyDescent="0.35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19</v>
      </c>
      <c r="K9" s="146" t="s">
        <v>1656</v>
      </c>
      <c r="L9" s="31">
        <f t="shared" si="7"/>
        <v>9</v>
      </c>
      <c r="M9" s="32">
        <f t="shared" si="8"/>
        <v>0.6785714285714286</v>
      </c>
      <c r="N9" s="70" t="s">
        <v>2274</v>
      </c>
      <c r="O9" s="70" t="s">
        <v>2274</v>
      </c>
      <c r="P9" s="70" t="s">
        <v>2274</v>
      </c>
      <c r="Q9" s="70" t="s">
        <v>2274</v>
      </c>
      <c r="R9" s="70" t="s">
        <v>2274</v>
      </c>
      <c r="S9" s="70" t="s">
        <v>2274</v>
      </c>
      <c r="T9" s="70" t="s">
        <v>2274</v>
      </c>
      <c r="U9" s="70"/>
      <c r="V9" s="70" t="s">
        <v>2274</v>
      </c>
      <c r="W9" s="70" t="s">
        <v>2274</v>
      </c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" hidden="1" thickBot="1" x14ac:dyDescent="0.35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" hidden="1" thickBot="1" x14ac:dyDescent="0.35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" hidden="1" thickBot="1" x14ac:dyDescent="0.35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" hidden="1" thickBot="1" x14ac:dyDescent="0.35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" hidden="1" thickBot="1" x14ac:dyDescent="0.35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" hidden="1" thickBot="1" x14ac:dyDescent="0.35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" hidden="1" thickBot="1" x14ac:dyDescent="0.35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" hidden="1" thickBot="1" x14ac:dyDescent="0.35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" hidden="1" thickBot="1" x14ac:dyDescent="0.35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" hidden="1" thickBot="1" x14ac:dyDescent="0.35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14</v>
      </c>
      <c r="K19" s="146" t="s">
        <v>1665</v>
      </c>
      <c r="L19" s="31">
        <f t="shared" si="7"/>
        <v>14</v>
      </c>
      <c r="M19" s="32">
        <f t="shared" si="8"/>
        <v>0.5</v>
      </c>
      <c r="N19" s="70" t="s">
        <v>2274</v>
      </c>
      <c r="O19" s="70" t="s">
        <v>2274</v>
      </c>
      <c r="P19" s="70" t="s">
        <v>2274</v>
      </c>
      <c r="Q19" s="70" t="s">
        <v>2274</v>
      </c>
      <c r="R19" s="70" t="s">
        <v>2274</v>
      </c>
      <c r="S19" s="70" t="s">
        <v>2274</v>
      </c>
      <c r="T19" s="70" t="s">
        <v>2274</v>
      </c>
      <c r="U19" s="70"/>
      <c r="V19" s="70" t="s">
        <v>2274</v>
      </c>
      <c r="W19" s="70" t="s">
        <v>2274</v>
      </c>
      <c r="X19" s="70" t="s">
        <v>2274</v>
      </c>
      <c r="Y19" s="70"/>
      <c r="Z19" s="70" t="s">
        <v>2274</v>
      </c>
      <c r="AA19" s="71"/>
      <c r="AB19" s="70"/>
      <c r="AC19" s="70" t="s">
        <v>2274</v>
      </c>
      <c r="AD19" s="70" t="s">
        <v>2274</v>
      </c>
      <c r="AE19" s="70" t="s">
        <v>2274</v>
      </c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</row>
    <row r="20" spans="1:44" s="73" customFormat="1" ht="15" hidden="1" thickBot="1" x14ac:dyDescent="0.35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13</v>
      </c>
      <c r="K20" s="146" t="s">
        <v>1666</v>
      </c>
      <c r="L20" s="31">
        <f t="shared" si="7"/>
        <v>15</v>
      </c>
      <c r="M20" s="32">
        <f t="shared" si="8"/>
        <v>0.4642857142857143</v>
      </c>
      <c r="N20" s="70" t="s">
        <v>2274</v>
      </c>
      <c r="O20" s="70" t="s">
        <v>2274</v>
      </c>
      <c r="P20" s="70" t="s">
        <v>2274</v>
      </c>
      <c r="Q20" s="70" t="s">
        <v>2274</v>
      </c>
      <c r="R20" s="70" t="s">
        <v>2274</v>
      </c>
      <c r="S20" s="70" t="s">
        <v>2274</v>
      </c>
      <c r="T20" s="70" t="s">
        <v>2274</v>
      </c>
      <c r="U20" s="70"/>
      <c r="V20" s="70" t="s">
        <v>2274</v>
      </c>
      <c r="W20" s="70" t="s">
        <v>2274</v>
      </c>
      <c r="X20" s="70" t="s">
        <v>2274</v>
      </c>
      <c r="Y20" s="70" t="s">
        <v>2274</v>
      </c>
      <c r="Z20" s="70" t="s">
        <v>2274</v>
      </c>
      <c r="AA20" s="71"/>
      <c r="AB20" s="70"/>
      <c r="AC20" s="70" t="s">
        <v>2274</v>
      </c>
      <c r="AD20" s="70" t="s">
        <v>2274</v>
      </c>
      <c r="AE20" s="70" t="s">
        <v>2274</v>
      </c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</row>
    <row r="21" spans="1:44" s="73" customFormat="1" ht="15" hidden="1" thickBot="1" x14ac:dyDescent="0.35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2274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" hidden="1" thickBot="1" x14ac:dyDescent="0.35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2322</v>
      </c>
      <c r="J22" s="31">
        <f t="shared" si="6"/>
        <v>28</v>
      </c>
      <c r="K22" s="146" t="s">
        <v>2324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" hidden="1" thickBot="1" x14ac:dyDescent="0.35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" hidden="1" thickBot="1" x14ac:dyDescent="0.35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28</v>
      </c>
      <c r="K24" s="146" t="s">
        <v>1669</v>
      </c>
      <c r="L24" s="31">
        <f t="shared" si="7"/>
        <v>0</v>
      </c>
      <c r="M24" s="32">
        <f t="shared" si="8"/>
        <v>1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</row>
    <row r="25" spans="1:44" ht="15" hidden="1" thickBot="1" x14ac:dyDescent="0.35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28</v>
      </c>
      <c r="K25" s="146" t="s">
        <v>1670</v>
      </c>
      <c r="L25" s="31">
        <f t="shared" si="7"/>
        <v>0</v>
      </c>
      <c r="M25" s="32">
        <f t="shared" si="8"/>
        <v>1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</row>
    <row r="26" spans="1:44" ht="15" hidden="1" thickBot="1" x14ac:dyDescent="0.35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28</v>
      </c>
      <c r="K26" s="146" t="s">
        <v>1671</v>
      </c>
      <c r="L26" s="31">
        <f t="shared" si="7"/>
        <v>0</v>
      </c>
      <c r="M26" s="32">
        <f t="shared" si="8"/>
        <v>1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</row>
    <row r="27" spans="1:44" ht="15" hidden="1" thickBot="1" x14ac:dyDescent="0.35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28</v>
      </c>
      <c r="K27" s="146" t="s">
        <v>1672</v>
      </c>
      <c r="L27" s="31">
        <f t="shared" si="7"/>
        <v>0</v>
      </c>
      <c r="M27" s="32">
        <f t="shared" si="8"/>
        <v>1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</row>
    <row r="28" spans="1:44" ht="15" hidden="1" thickBot="1" x14ac:dyDescent="0.35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" hidden="1" thickBot="1" x14ac:dyDescent="0.35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" hidden="1" thickBot="1" x14ac:dyDescent="0.35">
      <c r="A30" s="73" t="s">
        <v>1189</v>
      </c>
      <c r="B30" s="85" t="s">
        <v>2314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2274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" hidden="1" thickBot="1" x14ac:dyDescent="0.35">
      <c r="A31" s="73" t="s">
        <v>1189</v>
      </c>
      <c r="B31" s="85" t="s">
        <v>2315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28</v>
      </c>
      <c r="K31" s="87" t="s">
        <v>2146</v>
      </c>
      <c r="L31" s="141">
        <f t="shared" si="7"/>
        <v>0</v>
      </c>
      <c r="M31" s="142">
        <f t="shared" si="8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</row>
    <row r="32" spans="1:44" s="73" customFormat="1" ht="15" hidden="1" thickBot="1" x14ac:dyDescent="0.35">
      <c r="A32" s="73" t="s">
        <v>1189</v>
      </c>
      <c r="B32" s="85" t="s">
        <v>2316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28</v>
      </c>
      <c r="K32" s="87" t="s">
        <v>2147</v>
      </c>
      <c r="L32" s="141">
        <f t="shared" si="7"/>
        <v>0</v>
      </c>
      <c r="M32" s="142">
        <f t="shared" si="8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</row>
    <row r="33" spans="1:44" s="73" customFormat="1" ht="15" hidden="1" thickBot="1" x14ac:dyDescent="0.35">
      <c r="A33" s="73" t="s">
        <v>1189</v>
      </c>
      <c r="B33" s="85" t="s">
        <v>2317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28</v>
      </c>
      <c r="K33" s="87" t="s">
        <v>2148</v>
      </c>
      <c r="L33" s="141">
        <f t="shared" si="7"/>
        <v>0</v>
      </c>
      <c r="M33" s="142">
        <f t="shared" si="8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</row>
    <row r="34" spans="1:44" s="73" customFormat="1" ht="15" hidden="1" thickBot="1" x14ac:dyDescent="0.35">
      <c r="A34" s="73" t="s">
        <v>1189</v>
      </c>
      <c r="B34" s="85" t="s">
        <v>2318</v>
      </c>
      <c r="C34" s="85" t="s">
        <v>1058</v>
      </c>
      <c r="D34" s="73" t="s">
        <v>2297</v>
      </c>
      <c r="E34" s="85" t="s">
        <v>18</v>
      </c>
      <c r="F34" s="85" t="s">
        <v>1296</v>
      </c>
      <c r="G34" s="85"/>
      <c r="H34" s="85" t="s">
        <v>2298</v>
      </c>
      <c r="I34" s="85"/>
      <c r="J34" s="141">
        <f t="shared" si="6"/>
        <v>28</v>
      </c>
      <c r="K34" s="151" t="s">
        <v>2299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" hidden="1" thickBot="1" x14ac:dyDescent="0.35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2274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" hidden="1" thickBot="1" x14ac:dyDescent="0.35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13</v>
      </c>
      <c r="K36" s="87" t="s">
        <v>2149</v>
      </c>
      <c r="L36" s="141">
        <f t="shared" si="7"/>
        <v>15</v>
      </c>
      <c r="M36" s="142">
        <f t="shared" si="8"/>
        <v>0.4642857142857143</v>
      </c>
      <c r="N36" s="70" t="s">
        <v>2274</v>
      </c>
      <c r="O36" s="70" t="s">
        <v>2274</v>
      </c>
      <c r="P36" s="70" t="s">
        <v>2274</v>
      </c>
      <c r="Q36" s="70" t="s">
        <v>2274</v>
      </c>
      <c r="R36" s="70" t="s">
        <v>2274</v>
      </c>
      <c r="S36" s="70" t="s">
        <v>2274</v>
      </c>
      <c r="T36" s="70" t="s">
        <v>2274</v>
      </c>
      <c r="U36" s="70"/>
      <c r="V36" s="70" t="s">
        <v>2274</v>
      </c>
      <c r="W36" s="70" t="s">
        <v>2274</v>
      </c>
      <c r="X36" s="70" t="s">
        <v>2274</v>
      </c>
      <c r="Y36" s="70" t="s">
        <v>2274</v>
      </c>
      <c r="Z36" s="70" t="s">
        <v>2274</v>
      </c>
      <c r="AA36" s="70"/>
      <c r="AB36" s="70"/>
      <c r="AC36" s="70" t="s">
        <v>2274</v>
      </c>
      <c r="AD36" s="70" t="s">
        <v>2274</v>
      </c>
      <c r="AE36" s="70" t="s">
        <v>2274</v>
      </c>
      <c r="AF36" s="153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</row>
    <row r="37" spans="1:44" s="73" customFormat="1" ht="15" hidden="1" thickBot="1" x14ac:dyDescent="0.35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13</v>
      </c>
      <c r="K37" s="87" t="s">
        <v>2143</v>
      </c>
      <c r="L37" s="141">
        <f t="shared" si="7"/>
        <v>15</v>
      </c>
      <c r="M37" s="142">
        <f t="shared" si="8"/>
        <v>0.4642857142857143</v>
      </c>
      <c r="N37" s="70" t="s">
        <v>2274</v>
      </c>
      <c r="O37" s="70" t="s">
        <v>2274</v>
      </c>
      <c r="P37" s="70" t="s">
        <v>2274</v>
      </c>
      <c r="Q37" s="70" t="s">
        <v>2274</v>
      </c>
      <c r="R37" s="70" t="s">
        <v>2274</v>
      </c>
      <c r="S37" s="70" t="s">
        <v>2274</v>
      </c>
      <c r="T37" s="70" t="s">
        <v>2274</v>
      </c>
      <c r="U37" s="70"/>
      <c r="V37" s="70" t="s">
        <v>2274</v>
      </c>
      <c r="W37" s="70" t="s">
        <v>2274</v>
      </c>
      <c r="X37" s="70" t="s">
        <v>2274</v>
      </c>
      <c r="Y37" s="70" t="s">
        <v>2274</v>
      </c>
      <c r="Z37" s="70" t="s">
        <v>2274</v>
      </c>
      <c r="AA37" s="70"/>
      <c r="AB37" s="70"/>
      <c r="AC37" s="70" t="s">
        <v>2274</v>
      </c>
      <c r="AD37" s="70" t="s">
        <v>2274</v>
      </c>
      <c r="AE37" s="70" t="s">
        <v>2274</v>
      </c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</row>
    <row r="38" spans="1:44" s="73" customFormat="1" ht="15" hidden="1" thickBot="1" x14ac:dyDescent="0.35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" hidden="1" thickBot="1" x14ac:dyDescent="0.35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2274</v>
      </c>
      <c r="O39" s="70" t="s">
        <v>2274</v>
      </c>
      <c r="P39" s="70" t="s">
        <v>2274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" hidden="1" thickBot="1" x14ac:dyDescent="0.35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2274</v>
      </c>
      <c r="O40" s="70" t="s">
        <v>2274</v>
      </c>
      <c r="P40" s="70" t="s">
        <v>2274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" hidden="1" thickBot="1" x14ac:dyDescent="0.35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" hidden="1" thickBot="1" x14ac:dyDescent="0.35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" hidden="1" thickBot="1" x14ac:dyDescent="0.35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" hidden="1" thickBot="1" x14ac:dyDescent="0.35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2274</v>
      </c>
      <c r="O44" s="70" t="s">
        <v>2274</v>
      </c>
      <c r="P44" s="70" t="s">
        <v>2274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" hidden="1" thickBot="1" x14ac:dyDescent="0.35">
      <c r="A45" t="s">
        <v>1451</v>
      </c>
      <c r="B45" s="30" t="s">
        <v>2231</v>
      </c>
      <c r="C45" t="s">
        <v>1058</v>
      </c>
      <c r="D45" t="s">
        <v>2236</v>
      </c>
      <c r="E45" s="30" t="s">
        <v>72</v>
      </c>
      <c r="F45" s="30" t="s">
        <v>27</v>
      </c>
      <c r="G45" s="30"/>
      <c r="H45" s="85" t="s">
        <v>2232</v>
      </c>
      <c r="I45" s="85"/>
      <c r="J45" s="31">
        <f t="shared" si="6"/>
        <v>23</v>
      </c>
      <c r="K45" s="151" t="s">
        <v>2233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2274</v>
      </c>
      <c r="R45" s="70" t="s">
        <v>2274</v>
      </c>
      <c r="S45" s="70" t="s">
        <v>2274</v>
      </c>
      <c r="T45" s="70" t="s">
        <v>2274</v>
      </c>
      <c r="U45" s="70"/>
      <c r="V45" s="70" t="s">
        <v>2274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" hidden="1" thickBot="1" x14ac:dyDescent="0.35">
      <c r="A46" t="s">
        <v>1451</v>
      </c>
      <c r="B46" s="30" t="s">
        <v>2234</v>
      </c>
      <c r="C46" t="s">
        <v>1058</v>
      </c>
      <c r="D46" t="s">
        <v>2235</v>
      </c>
      <c r="E46" s="30" t="s">
        <v>72</v>
      </c>
      <c r="F46" s="30" t="s">
        <v>27</v>
      </c>
      <c r="G46" s="30"/>
      <c r="H46" s="85" t="s">
        <v>2237</v>
      </c>
      <c r="I46" s="85"/>
      <c r="J46" s="31">
        <f t="shared" si="6"/>
        <v>23</v>
      </c>
      <c r="K46" s="151" t="s">
        <v>2238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2274</v>
      </c>
      <c r="R46" s="70" t="s">
        <v>2274</v>
      </c>
      <c r="S46" s="70" t="s">
        <v>2274</v>
      </c>
      <c r="T46" s="70" t="s">
        <v>2274</v>
      </c>
      <c r="U46" s="70"/>
      <c r="V46" s="70" t="s">
        <v>2274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" hidden="1" thickBot="1" x14ac:dyDescent="0.35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2274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" hidden="1" thickBot="1" x14ac:dyDescent="0.35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2274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" hidden="1" thickBot="1" x14ac:dyDescent="0.35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" hidden="1" thickBot="1" x14ac:dyDescent="0.35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" hidden="1" thickBot="1" x14ac:dyDescent="0.35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" thickBot="1" x14ac:dyDescent="0.35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25</v>
      </c>
      <c r="K52" s="146"/>
      <c r="L52" s="31">
        <f t="shared" si="7"/>
        <v>3</v>
      </c>
      <c r="M52" s="32">
        <f t="shared" si="8"/>
        <v>0.8928571428571429</v>
      </c>
      <c r="N52" s="70"/>
      <c r="O52" s="70" t="s">
        <v>2274</v>
      </c>
      <c r="P52" s="70" t="s">
        <v>2274</v>
      </c>
      <c r="Q52" s="70" t="s">
        <v>2274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</row>
    <row r="53" spans="1:44" ht="15" hidden="1" thickBot="1" x14ac:dyDescent="0.35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" hidden="1" thickBot="1" x14ac:dyDescent="0.35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" hidden="1" thickBot="1" x14ac:dyDescent="0.35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" thickBot="1" x14ac:dyDescent="0.35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" thickBot="1" x14ac:dyDescent="0.35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" thickBot="1" x14ac:dyDescent="0.35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" hidden="1" thickBot="1" x14ac:dyDescent="0.35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" hidden="1" thickBot="1" x14ac:dyDescent="0.35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" hidden="1" thickBot="1" x14ac:dyDescent="0.35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2274</v>
      </c>
      <c r="O61" s="70" t="s">
        <v>2274</v>
      </c>
      <c r="P61" s="70" t="s">
        <v>2274</v>
      </c>
      <c r="Q61" s="70" t="s">
        <v>2274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" hidden="1" thickBot="1" x14ac:dyDescent="0.35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" hidden="1" thickBot="1" x14ac:dyDescent="0.35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" thickBot="1" x14ac:dyDescent="0.35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" hidden="1" thickBot="1" x14ac:dyDescent="0.35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" hidden="1" thickBot="1" x14ac:dyDescent="0.35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" hidden="1" thickBot="1" x14ac:dyDescent="0.35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2313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" hidden="1" thickBot="1" x14ac:dyDescent="0.35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" thickBot="1" x14ac:dyDescent="0.35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" hidden="1" thickBot="1" x14ac:dyDescent="0.35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" hidden="1" thickBot="1" x14ac:dyDescent="0.35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22</v>
      </c>
      <c r="K71" s="146" t="s">
        <v>1701</v>
      </c>
      <c r="L71" s="31">
        <f t="shared" si="7"/>
        <v>6</v>
      </c>
      <c r="M71" s="32">
        <f t="shared" si="8"/>
        <v>0.7857142857142857</v>
      </c>
      <c r="N71" s="70"/>
      <c r="O71" s="70"/>
      <c r="P71" s="70"/>
      <c r="Q71" s="70"/>
      <c r="R71" s="70"/>
      <c r="S71" s="70" t="s">
        <v>2274</v>
      </c>
      <c r="T71" s="70"/>
      <c r="U71" s="70"/>
      <c r="V71" s="70"/>
      <c r="W71" s="70"/>
      <c r="X71" s="70"/>
      <c r="Y71" s="70" t="s">
        <v>2274</v>
      </c>
      <c r="Z71" s="70" t="s">
        <v>2274</v>
      </c>
      <c r="AA71" s="70"/>
      <c r="AB71" s="70"/>
      <c r="AC71" s="70" t="s">
        <v>2274</v>
      </c>
      <c r="AD71" s="70" t="s">
        <v>2274</v>
      </c>
      <c r="AE71" s="70" t="s">
        <v>2274</v>
      </c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</row>
    <row r="72" spans="1:44" ht="15" hidden="1" thickBot="1" x14ac:dyDescent="0.35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" hidden="1" thickBot="1" x14ac:dyDescent="0.35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" hidden="1" thickBot="1" x14ac:dyDescent="0.35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" hidden="1" thickBot="1" x14ac:dyDescent="0.35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20</v>
      </c>
      <c r="K75" s="146" t="s">
        <v>1705</v>
      </c>
      <c r="L75" s="31">
        <f t="shared" si="7"/>
        <v>8</v>
      </c>
      <c r="M75" s="32">
        <f t="shared" si="8"/>
        <v>0.7142857142857143</v>
      </c>
      <c r="N75" s="70"/>
      <c r="O75" s="70"/>
      <c r="P75" s="70"/>
      <c r="Q75" s="70" t="s">
        <v>2274</v>
      </c>
      <c r="R75" s="70"/>
      <c r="S75" s="70" t="s">
        <v>2274</v>
      </c>
      <c r="T75" s="70" t="s">
        <v>2274</v>
      </c>
      <c r="U75" s="70"/>
      <c r="V75" s="70"/>
      <c r="W75" s="70" t="s">
        <v>2274</v>
      </c>
      <c r="X75" s="70" t="s">
        <v>2274</v>
      </c>
      <c r="Y75" s="70"/>
      <c r="Z75" s="70"/>
      <c r="AA75" s="70"/>
      <c r="AB75" s="70"/>
      <c r="AC75" s="70" t="s">
        <v>2274</v>
      </c>
      <c r="AD75" s="70" t="s">
        <v>2274</v>
      </c>
      <c r="AE75" s="70" t="s">
        <v>2274</v>
      </c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</row>
    <row r="76" spans="1:44" ht="15" hidden="1" thickBot="1" x14ac:dyDescent="0.35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" thickBot="1" x14ac:dyDescent="0.35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" hidden="1" thickBot="1" x14ac:dyDescent="0.35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" hidden="1" thickBot="1" x14ac:dyDescent="0.35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" hidden="1" thickBot="1" x14ac:dyDescent="0.35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" hidden="1" thickBot="1" x14ac:dyDescent="0.35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2274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" hidden="1" thickBot="1" x14ac:dyDescent="0.35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22</v>
      </c>
      <c r="K82" s="146" t="s">
        <v>1712</v>
      </c>
      <c r="L82" s="31">
        <f t="shared" si="7"/>
        <v>6</v>
      </c>
      <c r="M82" s="32">
        <f t="shared" si="8"/>
        <v>0.7857142857142857</v>
      </c>
      <c r="N82" s="70"/>
      <c r="O82" s="70"/>
      <c r="P82" s="70"/>
      <c r="Q82" s="70"/>
      <c r="R82" s="70"/>
      <c r="S82" s="70" t="s">
        <v>2274</v>
      </c>
      <c r="T82" s="70"/>
      <c r="U82" s="70"/>
      <c r="V82" s="70"/>
      <c r="W82" s="70"/>
      <c r="X82" s="70"/>
      <c r="Y82" s="70" t="s">
        <v>2274</v>
      </c>
      <c r="Z82" s="70" t="s">
        <v>2274</v>
      </c>
      <c r="AA82" s="70"/>
      <c r="AB82" s="70"/>
      <c r="AC82" s="70" t="s">
        <v>2274</v>
      </c>
      <c r="AD82" s="70" t="s">
        <v>2274</v>
      </c>
      <c r="AE82" s="70" t="s">
        <v>2274</v>
      </c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</row>
    <row r="83" spans="1:44" ht="15" thickBot="1" x14ac:dyDescent="0.35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2274</v>
      </c>
      <c r="T83" s="70" t="s">
        <v>2274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" hidden="1" thickBot="1" x14ac:dyDescent="0.35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2274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" hidden="1" thickBot="1" x14ac:dyDescent="0.35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" thickBot="1" x14ac:dyDescent="0.35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" hidden="1" thickBot="1" x14ac:dyDescent="0.35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" hidden="1" thickBot="1" x14ac:dyDescent="0.35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" hidden="1" thickBot="1" x14ac:dyDescent="0.35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24</v>
      </c>
      <c r="K89" s="146" t="s">
        <v>1719</v>
      </c>
      <c r="L89" s="31">
        <f t="shared" si="10"/>
        <v>4</v>
      </c>
      <c r="M89" s="32">
        <f t="shared" si="11"/>
        <v>0.8571428571428571</v>
      </c>
      <c r="N89" s="70"/>
      <c r="O89" s="70"/>
      <c r="P89" s="70"/>
      <c r="Q89" s="70" t="s">
        <v>2274</v>
      </c>
      <c r="R89" s="70"/>
      <c r="S89" s="70"/>
      <c r="T89" s="70"/>
      <c r="U89" s="70"/>
      <c r="V89" s="70" t="s">
        <v>2274</v>
      </c>
      <c r="W89" s="70" t="s">
        <v>2274</v>
      </c>
      <c r="X89" s="70"/>
      <c r="Y89" s="70" t="s">
        <v>2274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</row>
    <row r="90" spans="1:44" ht="15" hidden="1" thickBot="1" x14ac:dyDescent="0.35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15</v>
      </c>
      <c r="K90" s="146" t="s">
        <v>1720</v>
      </c>
      <c r="L90" s="31">
        <f t="shared" si="10"/>
        <v>13</v>
      </c>
      <c r="M90" s="32">
        <f t="shared" si="11"/>
        <v>0.5357142857142857</v>
      </c>
      <c r="N90" s="70" t="s">
        <v>2274</v>
      </c>
      <c r="O90" s="70" t="s">
        <v>2274</v>
      </c>
      <c r="P90" s="70" t="s">
        <v>2274</v>
      </c>
      <c r="Q90" s="70" t="s">
        <v>2274</v>
      </c>
      <c r="R90" s="70"/>
      <c r="S90" s="70" t="s">
        <v>2274</v>
      </c>
      <c r="T90" s="70" t="s">
        <v>2274</v>
      </c>
      <c r="U90" s="70"/>
      <c r="V90" s="70"/>
      <c r="W90" s="70" t="s">
        <v>2274</v>
      </c>
      <c r="X90" s="70" t="s">
        <v>2274</v>
      </c>
      <c r="Y90" s="70" t="s">
        <v>2274</v>
      </c>
      <c r="Z90" s="70" t="s">
        <v>2274</v>
      </c>
      <c r="AA90" s="70"/>
      <c r="AB90" s="70"/>
      <c r="AC90" s="70" t="s">
        <v>2274</v>
      </c>
      <c r="AD90" s="70" t="s">
        <v>2274</v>
      </c>
      <c r="AE90" s="70" t="s">
        <v>2274</v>
      </c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</row>
    <row r="91" spans="1:44" ht="15" hidden="1" thickBot="1" x14ac:dyDescent="0.35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" hidden="1" thickBot="1" x14ac:dyDescent="0.35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" hidden="1" thickBot="1" x14ac:dyDescent="0.35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2274</v>
      </c>
      <c r="X93" s="70"/>
      <c r="Y93" s="70" t="s">
        <v>2274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" hidden="1" thickBot="1" x14ac:dyDescent="0.35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" hidden="1" thickBot="1" x14ac:dyDescent="0.35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14</v>
      </c>
      <c r="K95" s="149" t="s">
        <v>1725</v>
      </c>
      <c r="L95" s="31">
        <f t="shared" si="10"/>
        <v>14</v>
      </c>
      <c r="M95" s="32">
        <f t="shared" si="11"/>
        <v>0.5</v>
      </c>
      <c r="N95" s="70" t="s">
        <v>2274</v>
      </c>
      <c r="O95" s="70" t="s">
        <v>2274</v>
      </c>
      <c r="P95" s="70" t="s">
        <v>2274</v>
      </c>
      <c r="Q95" s="70" t="s">
        <v>2274</v>
      </c>
      <c r="R95" s="70" t="s">
        <v>2274</v>
      </c>
      <c r="S95" s="70" t="s">
        <v>2274</v>
      </c>
      <c r="T95" s="70" t="s">
        <v>2274</v>
      </c>
      <c r="U95" s="70"/>
      <c r="V95" s="70" t="s">
        <v>2274</v>
      </c>
      <c r="W95" s="70" t="s">
        <v>2274</v>
      </c>
      <c r="X95" s="70" t="s">
        <v>2274</v>
      </c>
      <c r="Y95" s="70" t="s">
        <v>2274</v>
      </c>
      <c r="Z95" s="70" t="s">
        <v>2274</v>
      </c>
      <c r="AA95" s="70"/>
      <c r="AB95" s="70"/>
      <c r="AC95" s="70"/>
      <c r="AD95" s="70" t="s">
        <v>2274</v>
      </c>
      <c r="AE95" s="70" t="s">
        <v>2274</v>
      </c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</row>
    <row r="96" spans="1:44" s="73" customFormat="1" ht="15" hidden="1" thickBot="1" x14ac:dyDescent="0.35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26</v>
      </c>
      <c r="K96" s="146" t="s">
        <v>1726</v>
      </c>
      <c r="L96" s="141">
        <f t="shared" si="10"/>
        <v>2</v>
      </c>
      <c r="M96" s="142">
        <f t="shared" si="11"/>
        <v>0.9285714285714286</v>
      </c>
      <c r="N96" s="70" t="s">
        <v>2274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2274</v>
      </c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" hidden="1" thickBot="1" x14ac:dyDescent="0.35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" hidden="1" thickBot="1" x14ac:dyDescent="0.35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" hidden="1" thickBot="1" x14ac:dyDescent="0.35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" hidden="1" thickBot="1" x14ac:dyDescent="0.35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" hidden="1" thickBot="1" x14ac:dyDescent="0.35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" hidden="1" thickBot="1" x14ac:dyDescent="0.35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" hidden="1" thickBot="1" x14ac:dyDescent="0.35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" hidden="1" thickBot="1" x14ac:dyDescent="0.35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" hidden="1" thickBot="1" x14ac:dyDescent="0.35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" hidden="1" thickBot="1" x14ac:dyDescent="0.35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" hidden="1" thickBot="1" x14ac:dyDescent="0.35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" hidden="1" thickBot="1" x14ac:dyDescent="0.35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" hidden="1" thickBot="1" x14ac:dyDescent="0.35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" hidden="1" thickBot="1" x14ac:dyDescent="0.35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" hidden="1" thickBot="1" x14ac:dyDescent="0.35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" hidden="1" thickBot="1" x14ac:dyDescent="0.35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" hidden="1" thickBot="1" x14ac:dyDescent="0.35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" hidden="1" thickBot="1" x14ac:dyDescent="0.35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" hidden="1" thickBot="1" x14ac:dyDescent="0.35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" hidden="1" thickBot="1" x14ac:dyDescent="0.35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" hidden="1" thickBot="1" x14ac:dyDescent="0.35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5" hidden="1" customHeight="1" thickBot="1" x14ac:dyDescent="0.35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" hidden="1" thickBot="1" x14ac:dyDescent="0.35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" hidden="1" thickBot="1" x14ac:dyDescent="0.35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" hidden="1" thickBot="1" x14ac:dyDescent="0.35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2274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" hidden="1" thickBot="1" x14ac:dyDescent="0.35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" thickBot="1" x14ac:dyDescent="0.35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" thickBot="1" x14ac:dyDescent="0.35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" hidden="1" thickBot="1" x14ac:dyDescent="0.35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" hidden="1" thickBot="1" x14ac:dyDescent="0.35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" hidden="1" thickBot="1" x14ac:dyDescent="0.35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2274</v>
      </c>
      <c r="P127" s="70" t="s">
        <v>2274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" hidden="1" thickBot="1" x14ac:dyDescent="0.35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26</v>
      </c>
      <c r="K128" s="147" t="s">
        <v>1757</v>
      </c>
      <c r="L128" s="141">
        <f t="shared" si="10"/>
        <v>2</v>
      </c>
      <c r="M128" s="142">
        <f t="shared" si="11"/>
        <v>0.9285714285714286</v>
      </c>
      <c r="N128" s="70" t="s">
        <v>2274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</row>
    <row r="129" spans="1:44" s="73" customFormat="1" ht="15" hidden="1" thickBot="1" x14ac:dyDescent="0.35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" hidden="1" thickBot="1" x14ac:dyDescent="0.35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27</v>
      </c>
      <c r="K130" s="146" t="s">
        <v>1759</v>
      </c>
      <c r="L130" s="141">
        <f t="shared" si="10"/>
        <v>1</v>
      </c>
      <c r="M130" s="142">
        <f t="shared" si="11"/>
        <v>0.9642857142857143</v>
      </c>
      <c r="N130" s="70"/>
      <c r="O130" s="70"/>
      <c r="P130" s="70"/>
      <c r="Q130" s="70"/>
      <c r="R130" s="70" t="s">
        <v>2274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</row>
    <row r="131" spans="1:44" ht="15" hidden="1" thickBot="1" x14ac:dyDescent="0.35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2274</v>
      </c>
      <c r="O131" s="70" t="s">
        <v>2274</v>
      </c>
      <c r="P131" s="70"/>
      <c r="Q131" s="70" t="s">
        <v>2274</v>
      </c>
      <c r="R131" s="70"/>
      <c r="S131" s="70" t="s">
        <v>2274</v>
      </c>
      <c r="T131" s="70" t="s">
        <v>2274</v>
      </c>
      <c r="U131" s="70"/>
      <c r="V131" s="70"/>
      <c r="W131" s="70"/>
      <c r="X131" s="70"/>
      <c r="Y131" s="70" t="s">
        <v>2274</v>
      </c>
      <c r="Z131" s="70" t="s">
        <v>2274</v>
      </c>
      <c r="AA131" s="70"/>
      <c r="AB131" s="70"/>
      <c r="AC131" s="70" t="s">
        <v>2274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" thickBot="1" x14ac:dyDescent="0.35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" hidden="1" thickBot="1" x14ac:dyDescent="0.35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" hidden="1" thickBot="1" x14ac:dyDescent="0.35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hidden="1" customHeight="1" thickBot="1" x14ac:dyDescent="0.35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" hidden="1" thickBot="1" x14ac:dyDescent="0.35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2322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" hidden="1" thickBot="1" x14ac:dyDescent="0.35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2322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" hidden="1" thickBot="1" x14ac:dyDescent="0.35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" hidden="1" thickBot="1" x14ac:dyDescent="0.35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" hidden="1" thickBot="1" x14ac:dyDescent="0.35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" thickBot="1" x14ac:dyDescent="0.35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2274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" thickBot="1" x14ac:dyDescent="0.35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" hidden="1" thickBot="1" x14ac:dyDescent="0.35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" hidden="1" thickBot="1" x14ac:dyDescent="0.35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2210</v>
      </c>
      <c r="I144" s="85"/>
      <c r="J144" s="141">
        <f t="shared" si="9"/>
        <v>24</v>
      </c>
      <c r="K144" s="146" t="s">
        <v>2211</v>
      </c>
      <c r="L144" s="141">
        <f t="shared" si="10"/>
        <v>4</v>
      </c>
      <c r="M144" s="142">
        <f t="shared" si="11"/>
        <v>0.8571428571428571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2274</v>
      </c>
      <c r="Z144" s="70"/>
      <c r="AA144" s="70"/>
      <c r="AB144" s="70"/>
      <c r="AC144" s="70" t="s">
        <v>2274</v>
      </c>
      <c r="AD144" s="70" t="s">
        <v>2274</v>
      </c>
      <c r="AE144" s="70" t="s">
        <v>2274</v>
      </c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</row>
    <row r="145" spans="1:44" s="73" customFormat="1" ht="15" hidden="1" thickBot="1" x14ac:dyDescent="0.35">
      <c r="A145" s="73" t="s">
        <v>51</v>
      </c>
      <c r="B145" s="85" t="s">
        <v>2246</v>
      </c>
      <c r="C145" s="85" t="s">
        <v>1057</v>
      </c>
      <c r="D145" s="73" t="s">
        <v>2247</v>
      </c>
      <c r="E145" s="85" t="s">
        <v>18</v>
      </c>
      <c r="F145" s="30" t="s">
        <v>27</v>
      </c>
      <c r="G145" s="85"/>
      <c r="H145" s="85" t="s">
        <v>2248</v>
      </c>
      <c r="I145" s="85"/>
      <c r="J145" s="141">
        <f t="shared" si="9"/>
        <v>28</v>
      </c>
      <c r="K145" s="146" t="s">
        <v>2249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" thickBot="1" x14ac:dyDescent="0.35">
      <c r="A146" s="73" t="s">
        <v>51</v>
      </c>
      <c r="B146" s="85" t="s">
        <v>2306</v>
      </c>
      <c r="C146" s="85" t="s">
        <v>1057</v>
      </c>
      <c r="D146" s="73" t="s">
        <v>2307</v>
      </c>
      <c r="E146" s="85" t="s">
        <v>18</v>
      </c>
      <c r="F146" s="30" t="s">
        <v>27</v>
      </c>
      <c r="G146" s="85"/>
      <c r="H146" s="85" t="s">
        <v>2308</v>
      </c>
      <c r="I146" s="85"/>
      <c r="J146" s="141">
        <f t="shared" si="9"/>
        <v>23</v>
      </c>
      <c r="K146" s="146" t="s">
        <v>2309</v>
      </c>
      <c r="L146" s="141">
        <f t="shared" si="10"/>
        <v>5</v>
      </c>
      <c r="M146" s="142">
        <f t="shared" si="11"/>
        <v>0.8214285714285714</v>
      </c>
      <c r="N146" s="70"/>
      <c r="O146" s="70"/>
      <c r="P146" s="70"/>
      <c r="Q146" s="70"/>
      <c r="R146" s="70"/>
      <c r="S146" s="70" t="s">
        <v>2274</v>
      </c>
      <c r="T146" s="70"/>
      <c r="U146" s="70"/>
      <c r="V146" s="70"/>
      <c r="W146" s="70"/>
      <c r="X146" s="70"/>
      <c r="Y146" s="70" t="s">
        <v>2274</v>
      </c>
      <c r="Z146" s="70" t="s">
        <v>2274</v>
      </c>
      <c r="AA146" s="70"/>
      <c r="AB146" s="70"/>
      <c r="AC146" s="70" t="s">
        <v>2274</v>
      </c>
      <c r="AD146" s="70"/>
      <c r="AE146" s="70" t="s">
        <v>2274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</row>
    <row r="147" spans="1:44" ht="15" hidden="1" thickBot="1" x14ac:dyDescent="0.35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" hidden="1" thickBot="1" x14ac:dyDescent="0.35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" hidden="1" thickBot="1" x14ac:dyDescent="0.35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" hidden="1" thickBot="1" x14ac:dyDescent="0.35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" hidden="1" thickBot="1" x14ac:dyDescent="0.35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28</v>
      </c>
      <c r="K151" s="146" t="s">
        <v>1774</v>
      </c>
      <c r="L151" s="31">
        <f t="shared" si="10"/>
        <v>0</v>
      </c>
      <c r="M151" s="32">
        <f t="shared" si="11"/>
        <v>1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" hidden="1" thickBot="1" x14ac:dyDescent="0.35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14</v>
      </c>
      <c r="K152" s="146" t="s">
        <v>1775</v>
      </c>
      <c r="L152" s="31">
        <f t="shared" si="10"/>
        <v>14</v>
      </c>
      <c r="M152" s="32">
        <f t="shared" si="11"/>
        <v>0.5</v>
      </c>
      <c r="N152" s="70" t="s">
        <v>2274</v>
      </c>
      <c r="O152" s="70" t="s">
        <v>2274</v>
      </c>
      <c r="P152" s="70" t="s">
        <v>2274</v>
      </c>
      <c r="Q152" s="70" t="s">
        <v>2274</v>
      </c>
      <c r="R152" s="70" t="s">
        <v>2274</v>
      </c>
      <c r="S152" s="70" t="s">
        <v>2274</v>
      </c>
      <c r="T152" s="70"/>
      <c r="U152" s="70"/>
      <c r="V152" s="70" t="s">
        <v>2274</v>
      </c>
      <c r="W152" s="70" t="s">
        <v>2274</v>
      </c>
      <c r="X152" s="70" t="s">
        <v>2274</v>
      </c>
      <c r="Y152" s="70" t="s">
        <v>2274</v>
      </c>
      <c r="Z152" s="70" t="s">
        <v>2274</v>
      </c>
      <c r="AA152" s="70"/>
      <c r="AB152" s="70"/>
      <c r="AC152" s="70" t="s">
        <v>2274</v>
      </c>
      <c r="AD152" s="70" t="s">
        <v>2274</v>
      </c>
      <c r="AE152" s="70" t="s">
        <v>2274</v>
      </c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</row>
    <row r="153" spans="1:44" ht="15" hidden="1" thickBot="1" x14ac:dyDescent="0.35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2274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" hidden="1" thickBot="1" x14ac:dyDescent="0.35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28</v>
      </c>
      <c r="K154" s="146" t="s">
        <v>1776</v>
      </c>
      <c r="L154" s="31">
        <f t="shared" si="10"/>
        <v>0</v>
      </c>
      <c r="M154" s="32">
        <f t="shared" si="11"/>
        <v>1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" thickBot="1" x14ac:dyDescent="0.35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" hidden="1" thickBot="1" x14ac:dyDescent="0.35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" hidden="1" thickBot="1" x14ac:dyDescent="0.35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" thickBot="1" x14ac:dyDescent="0.35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2" customHeight="1" thickBot="1" x14ac:dyDescent="0.35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" hidden="1" thickBot="1" x14ac:dyDescent="0.35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" hidden="1" thickBot="1" x14ac:dyDescent="0.35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" hidden="1" thickBot="1" x14ac:dyDescent="0.35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" hidden="1" thickBot="1" x14ac:dyDescent="0.35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" hidden="1" thickBot="1" x14ac:dyDescent="0.35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" hidden="1" thickBot="1" x14ac:dyDescent="0.35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" hidden="1" thickBot="1" x14ac:dyDescent="0.35">
      <c r="A166" s="73" t="s">
        <v>1324</v>
      </c>
      <c r="B166" s="73" t="s">
        <v>2300</v>
      </c>
      <c r="C166" s="73" t="s">
        <v>1058</v>
      </c>
      <c r="D166" s="73" t="s">
        <v>2301</v>
      </c>
      <c r="E166" s="85" t="s">
        <v>14</v>
      </c>
      <c r="F166" s="85" t="s">
        <v>1296</v>
      </c>
      <c r="G166" s="85"/>
      <c r="H166" s="85" t="s">
        <v>2302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" hidden="1" thickBot="1" x14ac:dyDescent="0.35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23</v>
      </c>
      <c r="K167" s="146" t="s">
        <v>1784</v>
      </c>
      <c r="L167" s="31">
        <f t="shared" si="13"/>
        <v>5</v>
      </c>
      <c r="M167" s="32">
        <f t="shared" si="14"/>
        <v>0.8214285714285714</v>
      </c>
      <c r="N167" s="70"/>
      <c r="O167" s="70"/>
      <c r="P167" s="70"/>
      <c r="Q167" s="70" t="s">
        <v>2274</v>
      </c>
      <c r="R167" s="70" t="s">
        <v>2274</v>
      </c>
      <c r="S167" s="70" t="s">
        <v>2274</v>
      </c>
      <c r="T167" s="70" t="s">
        <v>2274</v>
      </c>
      <c r="U167" s="70"/>
      <c r="V167" s="70" t="s">
        <v>2274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</row>
    <row r="168" spans="1:44" ht="15" hidden="1" thickBot="1" x14ac:dyDescent="0.35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2274</v>
      </c>
      <c r="R168" s="70" t="s">
        <v>2274</v>
      </c>
      <c r="S168" s="70" t="s">
        <v>2274</v>
      </c>
      <c r="T168" s="70" t="s">
        <v>2274</v>
      </c>
      <c r="U168" s="70"/>
      <c r="V168" s="70" t="s">
        <v>2274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" hidden="1" thickBot="1" x14ac:dyDescent="0.35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2274</v>
      </c>
      <c r="R169" s="70" t="s">
        <v>2274</v>
      </c>
      <c r="S169" s="70" t="s">
        <v>2274</v>
      </c>
      <c r="T169" s="70" t="s">
        <v>2274</v>
      </c>
      <c r="U169" s="70"/>
      <c r="V169" s="70" t="s">
        <v>2274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" hidden="1" thickBot="1" x14ac:dyDescent="0.35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2274</v>
      </c>
      <c r="R170" s="70" t="s">
        <v>2274</v>
      </c>
      <c r="S170" s="70" t="s">
        <v>2274</v>
      </c>
      <c r="T170" s="70" t="s">
        <v>2274</v>
      </c>
      <c r="U170" s="70"/>
      <c r="V170" s="70" t="s">
        <v>2274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" hidden="1" thickBot="1" x14ac:dyDescent="0.35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13</v>
      </c>
      <c r="K171" s="146" t="s">
        <v>1788</v>
      </c>
      <c r="L171" s="31">
        <f t="shared" si="13"/>
        <v>15</v>
      </c>
      <c r="M171" s="32">
        <f t="shared" si="14"/>
        <v>0.4642857142857143</v>
      </c>
      <c r="N171" s="70" t="s">
        <v>2274</v>
      </c>
      <c r="O171" s="70" t="s">
        <v>2274</v>
      </c>
      <c r="P171" s="70" t="s">
        <v>2274</v>
      </c>
      <c r="Q171" s="70" t="s">
        <v>2274</v>
      </c>
      <c r="R171" s="70" t="s">
        <v>2274</v>
      </c>
      <c r="S171" s="70" t="s">
        <v>2274</v>
      </c>
      <c r="T171" s="70" t="s">
        <v>2274</v>
      </c>
      <c r="U171" s="70"/>
      <c r="V171" s="70" t="s">
        <v>2274</v>
      </c>
      <c r="W171" s="70" t="s">
        <v>2274</v>
      </c>
      <c r="X171" s="70" t="s">
        <v>2274</v>
      </c>
      <c r="Y171" s="70" t="s">
        <v>2274</v>
      </c>
      <c r="Z171" s="70" t="s">
        <v>2274</v>
      </c>
      <c r="AA171" s="70"/>
      <c r="AB171" s="70"/>
      <c r="AC171" s="70" t="s">
        <v>2274</v>
      </c>
      <c r="AD171" s="70" t="s">
        <v>2274</v>
      </c>
      <c r="AE171" s="70" t="s">
        <v>2274</v>
      </c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" hidden="1" thickBot="1" x14ac:dyDescent="0.35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2274</v>
      </c>
      <c r="O172" s="70" t="s">
        <v>2274</v>
      </c>
      <c r="P172" s="70" t="s">
        <v>2274</v>
      </c>
      <c r="Q172" s="70" t="s">
        <v>2274</v>
      </c>
      <c r="R172" s="70" t="s">
        <v>2274</v>
      </c>
      <c r="S172" s="70" t="s">
        <v>2274</v>
      </c>
      <c r="T172" s="70" t="s">
        <v>2274</v>
      </c>
      <c r="U172" s="70"/>
      <c r="V172" s="70" t="s">
        <v>2274</v>
      </c>
      <c r="W172" s="70" t="s">
        <v>2274</v>
      </c>
      <c r="X172" s="70" t="s">
        <v>2274</v>
      </c>
      <c r="Y172" s="70" t="s">
        <v>2274</v>
      </c>
      <c r="Z172" s="70" t="s">
        <v>2274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" hidden="1" thickBot="1" x14ac:dyDescent="0.35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" hidden="1" thickBot="1" x14ac:dyDescent="0.35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" hidden="1" thickBot="1" x14ac:dyDescent="0.35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" hidden="1" thickBot="1" x14ac:dyDescent="0.35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28</v>
      </c>
      <c r="K176" s="146" t="s">
        <v>1793</v>
      </c>
      <c r="L176" s="31">
        <f t="shared" si="13"/>
        <v>0</v>
      </c>
      <c r="M176" s="32">
        <f t="shared" si="14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" hidden="1" thickBot="1" x14ac:dyDescent="0.35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" hidden="1" thickBot="1" x14ac:dyDescent="0.35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24</v>
      </c>
      <c r="K178" s="146" t="s">
        <v>1795</v>
      </c>
      <c r="L178" s="141">
        <f t="shared" si="13"/>
        <v>4</v>
      </c>
      <c r="M178" s="142">
        <f t="shared" si="14"/>
        <v>0.8571428571428571</v>
      </c>
      <c r="N178" s="70"/>
      <c r="O178" s="70" t="s">
        <v>2274</v>
      </c>
      <c r="P178" s="70" t="s">
        <v>2274</v>
      </c>
      <c r="Q178" s="70"/>
      <c r="R178" s="70" t="s">
        <v>2274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2274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</row>
    <row r="179" spans="1:44" ht="15" hidden="1" thickBot="1" x14ac:dyDescent="0.35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" hidden="1" thickBot="1" x14ac:dyDescent="0.35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" hidden="1" thickBot="1" x14ac:dyDescent="0.35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" hidden="1" thickBot="1" x14ac:dyDescent="0.35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" hidden="1" thickBot="1" x14ac:dyDescent="0.35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" hidden="1" thickBot="1" x14ac:dyDescent="0.35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" hidden="1" thickBot="1" x14ac:dyDescent="0.35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28</v>
      </c>
      <c r="K185" s="146" t="s">
        <v>1801</v>
      </c>
      <c r="L185" s="31">
        <f t="shared" si="13"/>
        <v>0</v>
      </c>
      <c r="M185" s="32">
        <f t="shared" si="14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" hidden="1" thickBot="1" x14ac:dyDescent="0.35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" hidden="1" thickBot="1" x14ac:dyDescent="0.35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13</v>
      </c>
      <c r="K187" s="146" t="s">
        <v>1803</v>
      </c>
      <c r="L187" s="31">
        <f t="shared" si="13"/>
        <v>15</v>
      </c>
      <c r="M187" s="32">
        <f t="shared" si="14"/>
        <v>0.4642857142857143</v>
      </c>
      <c r="N187" s="70" t="s">
        <v>2274</v>
      </c>
      <c r="O187" s="70" t="s">
        <v>2274</v>
      </c>
      <c r="P187" s="70" t="s">
        <v>2274</v>
      </c>
      <c r="Q187" s="70" t="s">
        <v>2274</v>
      </c>
      <c r="R187" s="70" t="s">
        <v>2274</v>
      </c>
      <c r="S187" s="70" t="s">
        <v>2274</v>
      </c>
      <c r="T187" s="70" t="s">
        <v>2274</v>
      </c>
      <c r="U187" s="70"/>
      <c r="V187" s="70" t="s">
        <v>2274</v>
      </c>
      <c r="W187" s="70" t="s">
        <v>2274</v>
      </c>
      <c r="X187" s="70" t="s">
        <v>2274</v>
      </c>
      <c r="Y187" s="70" t="s">
        <v>2274</v>
      </c>
      <c r="Z187" s="70" t="s">
        <v>2274</v>
      </c>
      <c r="AA187" s="70"/>
      <c r="AB187" s="70"/>
      <c r="AC187" s="70" t="s">
        <v>2274</v>
      </c>
      <c r="AD187" s="70" t="s">
        <v>2274</v>
      </c>
      <c r="AE187" s="70" t="s">
        <v>2274</v>
      </c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</row>
    <row r="188" spans="1:44" ht="15" hidden="1" thickBot="1" x14ac:dyDescent="0.35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13</v>
      </c>
      <c r="K188" s="146" t="s">
        <v>1804</v>
      </c>
      <c r="L188" s="31">
        <f t="shared" si="13"/>
        <v>15</v>
      </c>
      <c r="M188" s="32">
        <f t="shared" si="14"/>
        <v>0.4642857142857143</v>
      </c>
      <c r="N188" s="70" t="s">
        <v>2274</v>
      </c>
      <c r="O188" s="70" t="s">
        <v>2274</v>
      </c>
      <c r="P188" s="70" t="s">
        <v>2274</v>
      </c>
      <c r="Q188" s="70" t="s">
        <v>2274</v>
      </c>
      <c r="R188" s="70" t="s">
        <v>2274</v>
      </c>
      <c r="S188" s="70" t="s">
        <v>2274</v>
      </c>
      <c r="T188" s="70" t="s">
        <v>2274</v>
      </c>
      <c r="U188" s="70"/>
      <c r="V188" s="70" t="s">
        <v>2274</v>
      </c>
      <c r="W188" s="70" t="s">
        <v>2274</v>
      </c>
      <c r="X188" s="70" t="s">
        <v>2274</v>
      </c>
      <c r="Y188" s="70" t="s">
        <v>2274</v>
      </c>
      <c r="Z188" s="70" t="s">
        <v>2274</v>
      </c>
      <c r="AA188" s="70"/>
      <c r="AB188" s="70"/>
      <c r="AC188" s="70" t="s">
        <v>2274</v>
      </c>
      <c r="AD188" s="70" t="s">
        <v>2274</v>
      </c>
      <c r="AE188" s="70" t="s">
        <v>2274</v>
      </c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</row>
    <row r="189" spans="1:44" ht="15" hidden="1" thickBot="1" x14ac:dyDescent="0.35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" hidden="1" thickBot="1" x14ac:dyDescent="0.35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" hidden="1" thickBot="1" x14ac:dyDescent="0.35">
      <c r="A191" s="73" t="s">
        <v>190</v>
      </c>
      <c r="B191" s="85" t="s">
        <v>2303</v>
      </c>
      <c r="C191" s="85" t="s">
        <v>1058</v>
      </c>
      <c r="D191" s="73" t="s">
        <v>2304</v>
      </c>
      <c r="E191" s="85" t="s">
        <v>1109</v>
      </c>
      <c r="F191" s="85" t="s">
        <v>1296</v>
      </c>
      <c r="G191" s="85"/>
      <c r="H191" s="85" t="s">
        <v>2305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" hidden="1" thickBot="1" x14ac:dyDescent="0.35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" hidden="1" thickBot="1" x14ac:dyDescent="0.35">
      <c r="A193" s="73" t="s">
        <v>190</v>
      </c>
      <c r="B193" s="85" t="s">
        <v>2222</v>
      </c>
      <c r="C193" s="85" t="s">
        <v>1058</v>
      </c>
      <c r="D193" s="73" t="s">
        <v>2223</v>
      </c>
      <c r="E193" s="85" t="s">
        <v>18</v>
      </c>
      <c r="F193" s="85" t="s">
        <v>1296</v>
      </c>
      <c r="G193" s="85"/>
      <c r="H193" s="85" t="s">
        <v>2224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" hidden="1" thickBot="1" x14ac:dyDescent="0.35">
      <c r="B194" s="85" t="s">
        <v>2275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" hidden="1" thickBot="1" x14ac:dyDescent="0.35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2274</v>
      </c>
      <c r="R195" s="70" t="s">
        <v>2274</v>
      </c>
      <c r="S195" s="70" t="s">
        <v>2274</v>
      </c>
      <c r="T195" s="70" t="s">
        <v>2274</v>
      </c>
      <c r="U195" s="70"/>
      <c r="V195" s="70" t="s">
        <v>2274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" hidden="1" thickBot="1" x14ac:dyDescent="0.35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2274</v>
      </c>
      <c r="R196" s="70" t="s">
        <v>2274</v>
      </c>
      <c r="S196" s="70" t="s">
        <v>2274</v>
      </c>
      <c r="T196" s="70" t="s">
        <v>2274</v>
      </c>
      <c r="U196" s="70"/>
      <c r="V196" s="70" t="s">
        <v>2274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" hidden="1" thickBot="1" x14ac:dyDescent="0.35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13</v>
      </c>
      <c r="K197" s="87"/>
      <c r="L197" s="137">
        <f t="shared" si="13"/>
        <v>15</v>
      </c>
      <c r="M197" s="138">
        <f t="shared" si="14"/>
        <v>0.4642857142857143</v>
      </c>
      <c r="N197" s="139" t="s">
        <v>2274</v>
      </c>
      <c r="O197" s="139" t="s">
        <v>2274</v>
      </c>
      <c r="P197" s="139" t="s">
        <v>2274</v>
      </c>
      <c r="Q197" s="139" t="s">
        <v>2274</v>
      </c>
      <c r="R197" s="139" t="s">
        <v>2274</v>
      </c>
      <c r="S197" s="139" t="s">
        <v>2274</v>
      </c>
      <c r="T197" s="139" t="s">
        <v>2274</v>
      </c>
      <c r="U197" s="139"/>
      <c r="V197" s="139" t="s">
        <v>2274</v>
      </c>
      <c r="W197" s="139" t="s">
        <v>2274</v>
      </c>
      <c r="X197" s="139" t="s">
        <v>2274</v>
      </c>
      <c r="Y197" s="139" t="s">
        <v>2274</v>
      </c>
      <c r="Z197" s="139" t="s">
        <v>2274</v>
      </c>
      <c r="AA197" s="139"/>
      <c r="AB197" s="139"/>
      <c r="AC197" s="139" t="s">
        <v>2274</v>
      </c>
      <c r="AD197" s="139" t="s">
        <v>2274</v>
      </c>
      <c r="AE197" s="139" t="s">
        <v>2274</v>
      </c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  <c r="AR197" s="139"/>
    </row>
    <row r="198" spans="1:44" s="73" customFormat="1" ht="15" hidden="1" thickBot="1" x14ac:dyDescent="0.35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2274</v>
      </c>
      <c r="O198" s="70" t="s">
        <v>2274</v>
      </c>
      <c r="P198" s="70" t="s">
        <v>2274</v>
      </c>
      <c r="Q198" s="70" t="s">
        <v>2274</v>
      </c>
      <c r="R198" s="70" t="s">
        <v>2274</v>
      </c>
      <c r="S198" s="70" t="s">
        <v>2274</v>
      </c>
      <c r="T198" s="70" t="s">
        <v>2274</v>
      </c>
      <c r="U198" s="70"/>
      <c r="V198" s="70" t="s">
        <v>2274</v>
      </c>
      <c r="W198" s="70" t="s">
        <v>2274</v>
      </c>
      <c r="X198" s="70" t="s">
        <v>2274</v>
      </c>
      <c r="Y198" s="70" t="s">
        <v>2274</v>
      </c>
      <c r="Z198" s="70" t="s">
        <v>2274</v>
      </c>
      <c r="AA198" s="70"/>
      <c r="AB198" s="70"/>
      <c r="AC198" s="70" t="s">
        <v>2274</v>
      </c>
      <c r="AD198" s="70" t="s">
        <v>2274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" hidden="1" thickBot="1" x14ac:dyDescent="0.35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13</v>
      </c>
      <c r="K199" s="146" t="s">
        <v>1810</v>
      </c>
      <c r="L199" s="141">
        <f t="shared" si="13"/>
        <v>15</v>
      </c>
      <c r="M199" s="142">
        <f t="shared" si="14"/>
        <v>0.4642857142857143</v>
      </c>
      <c r="N199" s="70" t="s">
        <v>2274</v>
      </c>
      <c r="O199" s="70" t="s">
        <v>2274</v>
      </c>
      <c r="P199" s="70" t="s">
        <v>2274</v>
      </c>
      <c r="Q199" s="70" t="s">
        <v>2274</v>
      </c>
      <c r="R199" s="70" t="s">
        <v>2274</v>
      </c>
      <c r="S199" s="70" t="s">
        <v>2274</v>
      </c>
      <c r="T199" s="70" t="s">
        <v>2274</v>
      </c>
      <c r="U199" s="70"/>
      <c r="V199" s="70" t="s">
        <v>2274</v>
      </c>
      <c r="W199" s="70" t="s">
        <v>2274</v>
      </c>
      <c r="X199" s="70" t="s">
        <v>2274</v>
      </c>
      <c r="Y199" s="70" t="s">
        <v>2274</v>
      </c>
      <c r="Z199" s="70" t="s">
        <v>2274</v>
      </c>
      <c r="AA199" s="70"/>
      <c r="AB199" s="70"/>
      <c r="AC199" s="70" t="s">
        <v>2274</v>
      </c>
      <c r="AD199" s="70" t="s">
        <v>2274</v>
      </c>
      <c r="AE199" s="70" t="s">
        <v>2274</v>
      </c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</row>
    <row r="200" spans="1:44" ht="15" hidden="1" thickBot="1" x14ac:dyDescent="0.35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" hidden="1" thickBot="1" x14ac:dyDescent="0.35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13</v>
      </c>
      <c r="K201" s="146" t="s">
        <v>1812</v>
      </c>
      <c r="L201" s="31">
        <f t="shared" si="13"/>
        <v>15</v>
      </c>
      <c r="M201" s="32">
        <f t="shared" si="14"/>
        <v>0.4642857142857143</v>
      </c>
      <c r="N201" s="70" t="s">
        <v>2274</v>
      </c>
      <c r="O201" s="70" t="s">
        <v>2274</v>
      </c>
      <c r="P201" s="70" t="s">
        <v>2274</v>
      </c>
      <c r="Q201" s="70" t="s">
        <v>2274</v>
      </c>
      <c r="R201" s="70" t="s">
        <v>2274</v>
      </c>
      <c r="S201" s="70" t="s">
        <v>2274</v>
      </c>
      <c r="T201" s="70" t="s">
        <v>2274</v>
      </c>
      <c r="U201" s="70"/>
      <c r="V201" s="70" t="s">
        <v>2274</v>
      </c>
      <c r="W201" s="70" t="s">
        <v>2274</v>
      </c>
      <c r="X201" s="70" t="s">
        <v>2274</v>
      </c>
      <c r="Y201" s="70" t="s">
        <v>2274</v>
      </c>
      <c r="Z201" s="70" t="s">
        <v>2274</v>
      </c>
      <c r="AA201" s="70"/>
      <c r="AB201" s="70"/>
      <c r="AC201" s="70" t="s">
        <v>2274</v>
      </c>
      <c r="AD201" s="70" t="s">
        <v>2274</v>
      </c>
      <c r="AE201" s="70" t="s">
        <v>2274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</row>
    <row r="202" spans="1:44" ht="15" hidden="1" thickBot="1" x14ac:dyDescent="0.35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" hidden="1" thickBot="1" x14ac:dyDescent="0.35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2319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" hidden="1" thickBot="1" x14ac:dyDescent="0.35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27</v>
      </c>
      <c r="K204" s="146" t="s">
        <v>1814</v>
      </c>
      <c r="L204" s="141">
        <f t="shared" si="13"/>
        <v>1</v>
      </c>
      <c r="M204" s="142">
        <f t="shared" si="14"/>
        <v>0.9642857142857143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2274</v>
      </c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</row>
    <row r="205" spans="1:44" ht="15" hidden="1" thickBot="1" x14ac:dyDescent="0.35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" hidden="1" thickBot="1" x14ac:dyDescent="0.35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" hidden="1" thickBot="1" x14ac:dyDescent="0.35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" hidden="1" thickBot="1" x14ac:dyDescent="0.35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" hidden="1" thickBot="1" x14ac:dyDescent="0.35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" hidden="1" thickBot="1" x14ac:dyDescent="0.35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" hidden="1" thickBot="1" x14ac:dyDescent="0.35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" hidden="1" thickBot="1" x14ac:dyDescent="0.35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" hidden="1" thickBot="1" x14ac:dyDescent="0.35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" hidden="1" thickBot="1" x14ac:dyDescent="0.35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" hidden="1" thickBot="1" x14ac:dyDescent="0.35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27</v>
      </c>
      <c r="K215" s="146" t="s">
        <v>1824</v>
      </c>
      <c r="L215" s="141">
        <f t="shared" si="13"/>
        <v>1</v>
      </c>
      <c r="M215" s="142">
        <f t="shared" si="14"/>
        <v>0.9642857142857143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2274</v>
      </c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</row>
    <row r="216" spans="1:44" s="73" customFormat="1" ht="15" hidden="1" thickBot="1" x14ac:dyDescent="0.35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" hidden="1" thickBot="1" x14ac:dyDescent="0.35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" hidden="1" thickBot="1" x14ac:dyDescent="0.35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" hidden="1" thickBot="1" x14ac:dyDescent="0.35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2276</v>
      </c>
      <c r="I219" s="85"/>
      <c r="J219" s="141">
        <f t="shared" si="12"/>
        <v>28</v>
      </c>
      <c r="K219" s="146" t="s">
        <v>1827</v>
      </c>
      <c r="L219" s="141">
        <f t="shared" si="13"/>
        <v>0</v>
      </c>
      <c r="M219" s="142">
        <f t="shared" si="14"/>
        <v>1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</row>
    <row r="220" spans="1:44" s="73" customFormat="1" ht="15" hidden="1" thickBot="1" x14ac:dyDescent="0.35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" thickBot="1" x14ac:dyDescent="0.35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" hidden="1" thickBot="1" x14ac:dyDescent="0.35">
      <c r="A222" t="s">
        <v>100</v>
      </c>
      <c r="B222" t="s">
        <v>2259</v>
      </c>
      <c r="C222" t="s">
        <v>1057</v>
      </c>
      <c r="D222" t="s">
        <v>2260</v>
      </c>
      <c r="E222" s="30" t="s">
        <v>14</v>
      </c>
      <c r="F222" s="85" t="s">
        <v>1296</v>
      </c>
      <c r="G222" s="30"/>
      <c r="H222" s="30" t="s">
        <v>2261</v>
      </c>
      <c r="I222" s="30"/>
      <c r="J222" s="141">
        <f t="shared" si="12"/>
        <v>28</v>
      </c>
      <c r="K222" s="150" t="s">
        <v>2262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" hidden="1" thickBot="1" x14ac:dyDescent="0.35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" hidden="1" thickBot="1" x14ac:dyDescent="0.35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" hidden="1" thickBot="1" x14ac:dyDescent="0.35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" hidden="1" thickBot="1" x14ac:dyDescent="0.35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27</v>
      </c>
      <c r="K226" s="146" t="s">
        <v>1831</v>
      </c>
      <c r="L226" s="141">
        <f t="shared" si="13"/>
        <v>1</v>
      </c>
      <c r="M226" s="142">
        <f t="shared" si="14"/>
        <v>0.9642857142857143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2274</v>
      </c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" hidden="1" thickBot="1" x14ac:dyDescent="0.35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" hidden="1" thickBot="1" x14ac:dyDescent="0.35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" hidden="1" thickBot="1" x14ac:dyDescent="0.35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" hidden="1" thickBot="1" x14ac:dyDescent="0.35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" hidden="1" thickBot="1" x14ac:dyDescent="0.35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" hidden="1" thickBot="1" x14ac:dyDescent="0.35">
      <c r="A232" s="73" t="s">
        <v>253</v>
      </c>
      <c r="B232" s="73" t="s">
        <v>2277</v>
      </c>
      <c r="C232" s="73" t="s">
        <v>1057</v>
      </c>
      <c r="D232" s="73" t="s">
        <v>2278</v>
      </c>
      <c r="E232" s="85" t="s">
        <v>14</v>
      </c>
      <c r="F232" s="85" t="s">
        <v>1296</v>
      </c>
      <c r="G232" s="85"/>
      <c r="H232" s="85" t="s">
        <v>2279</v>
      </c>
      <c r="I232" s="85"/>
      <c r="J232" s="141">
        <f t="shared" si="12"/>
        <v>28</v>
      </c>
      <c r="K232" s="151" t="s">
        <v>2280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" hidden="1" thickBot="1" x14ac:dyDescent="0.35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" hidden="1" thickBot="1" x14ac:dyDescent="0.35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" hidden="1" thickBot="1" x14ac:dyDescent="0.35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" hidden="1" thickBot="1" x14ac:dyDescent="0.35">
      <c r="A236" s="73" t="s">
        <v>257</v>
      </c>
      <c r="B236" s="73" t="s">
        <v>2269</v>
      </c>
      <c r="C236" s="73" t="s">
        <v>1058</v>
      </c>
      <c r="D236" s="73" t="s">
        <v>2270</v>
      </c>
      <c r="E236" s="85" t="s">
        <v>14</v>
      </c>
      <c r="F236" s="85" t="s">
        <v>1296</v>
      </c>
      <c r="G236" s="85"/>
      <c r="H236" s="85" t="s">
        <v>2271</v>
      </c>
      <c r="I236" s="85"/>
      <c r="J236" s="141">
        <f t="shared" si="12"/>
        <v>28</v>
      </c>
      <c r="K236" s="146" t="s">
        <v>2272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" hidden="1" thickBot="1" x14ac:dyDescent="0.35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2274</v>
      </c>
      <c r="O237" s="70" t="s">
        <v>2274</v>
      </c>
      <c r="P237" s="70" t="s">
        <v>2274</v>
      </c>
      <c r="Q237" s="70"/>
      <c r="R237" s="70" t="s">
        <v>2274</v>
      </c>
      <c r="S237" s="70" t="s">
        <v>2274</v>
      </c>
      <c r="T237" s="70" t="s">
        <v>2274</v>
      </c>
      <c r="U237" s="70"/>
      <c r="V237" s="70" t="s">
        <v>2274</v>
      </c>
      <c r="W237" s="70" t="s">
        <v>2274</v>
      </c>
      <c r="X237" s="70" t="s">
        <v>2274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" hidden="1" thickBot="1" x14ac:dyDescent="0.35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28</v>
      </c>
      <c r="K238" s="146" t="s">
        <v>1840</v>
      </c>
      <c r="L238" s="31">
        <f t="shared" si="13"/>
        <v>0</v>
      </c>
      <c r="M238" s="32">
        <f t="shared" si="14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" hidden="1" thickBot="1" x14ac:dyDescent="0.35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" hidden="1" thickBot="1" x14ac:dyDescent="0.35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28</v>
      </c>
      <c r="K240" s="146" t="s">
        <v>1842</v>
      </c>
      <c r="L240" s="31">
        <f t="shared" si="13"/>
        <v>0</v>
      </c>
      <c r="M240" s="32">
        <f t="shared" si="14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" hidden="1" thickBot="1" x14ac:dyDescent="0.35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28</v>
      </c>
      <c r="K241" s="146" t="s">
        <v>1843</v>
      </c>
      <c r="L241" s="31">
        <f t="shared" si="13"/>
        <v>0</v>
      </c>
      <c r="M241" s="32">
        <f t="shared" si="14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" hidden="1" thickBot="1" x14ac:dyDescent="0.35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" hidden="1" thickBot="1" x14ac:dyDescent="0.35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" hidden="1" thickBot="1" x14ac:dyDescent="0.35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" hidden="1" thickBot="1" x14ac:dyDescent="0.35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" hidden="1" thickBot="1" x14ac:dyDescent="0.35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28</v>
      </c>
      <c r="K246" s="146" t="s">
        <v>1848</v>
      </c>
      <c r="L246" s="31">
        <f t="shared" si="16"/>
        <v>0</v>
      </c>
      <c r="M246" s="32">
        <f t="shared" si="17"/>
        <v>1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" hidden="1" thickBot="1" x14ac:dyDescent="0.35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28</v>
      </c>
      <c r="K247" s="146" t="s">
        <v>1849</v>
      </c>
      <c r="L247" s="31">
        <f t="shared" si="16"/>
        <v>0</v>
      </c>
      <c r="M247" s="32">
        <f t="shared" si="17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" hidden="1" thickBot="1" x14ac:dyDescent="0.35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28</v>
      </c>
      <c r="K248" s="146" t="s">
        <v>1850</v>
      </c>
      <c r="L248" s="31">
        <f t="shared" si="16"/>
        <v>0</v>
      </c>
      <c r="M248" s="32">
        <f t="shared" si="17"/>
        <v>1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" hidden="1" thickBot="1" x14ac:dyDescent="0.35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" hidden="1" thickBot="1" x14ac:dyDescent="0.35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13</v>
      </c>
      <c r="K250" s="146" t="s">
        <v>1852</v>
      </c>
      <c r="L250" s="31">
        <f t="shared" si="16"/>
        <v>15</v>
      </c>
      <c r="M250" s="32">
        <f t="shared" si="17"/>
        <v>0.4642857142857143</v>
      </c>
      <c r="N250" s="70" t="s">
        <v>2274</v>
      </c>
      <c r="O250" s="70" t="s">
        <v>2274</v>
      </c>
      <c r="P250" s="70" t="s">
        <v>2274</v>
      </c>
      <c r="Q250" s="70" t="s">
        <v>2274</v>
      </c>
      <c r="R250" s="70" t="s">
        <v>2274</v>
      </c>
      <c r="S250" s="70" t="s">
        <v>2274</v>
      </c>
      <c r="T250" s="70" t="s">
        <v>2274</v>
      </c>
      <c r="U250" s="70"/>
      <c r="V250" s="70" t="s">
        <v>2274</v>
      </c>
      <c r="W250" s="70" t="s">
        <v>2274</v>
      </c>
      <c r="X250" s="70" t="s">
        <v>2274</v>
      </c>
      <c r="Y250" s="70" t="s">
        <v>2274</v>
      </c>
      <c r="Z250" s="70" t="s">
        <v>2274</v>
      </c>
      <c r="AA250" s="70"/>
      <c r="AB250" s="70"/>
      <c r="AC250" s="70" t="s">
        <v>2274</v>
      </c>
      <c r="AD250" s="70" t="s">
        <v>2274</v>
      </c>
      <c r="AE250" s="70" t="s">
        <v>2274</v>
      </c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</row>
    <row r="251" spans="1:44" ht="15" hidden="1" thickBot="1" x14ac:dyDescent="0.35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13</v>
      </c>
      <c r="K251" s="146" t="s">
        <v>1853</v>
      </c>
      <c r="L251" s="31">
        <f t="shared" si="16"/>
        <v>15</v>
      </c>
      <c r="M251" s="32">
        <f t="shared" si="17"/>
        <v>0.4642857142857143</v>
      </c>
      <c r="N251" s="70" t="s">
        <v>2274</v>
      </c>
      <c r="O251" s="70" t="s">
        <v>2274</v>
      </c>
      <c r="P251" s="70" t="s">
        <v>2274</v>
      </c>
      <c r="Q251" s="70" t="s">
        <v>2274</v>
      </c>
      <c r="R251" s="70" t="s">
        <v>2274</v>
      </c>
      <c r="S251" s="70" t="s">
        <v>2274</v>
      </c>
      <c r="T251" s="70" t="s">
        <v>2274</v>
      </c>
      <c r="U251" s="70"/>
      <c r="V251" s="70" t="s">
        <v>2274</v>
      </c>
      <c r="W251" s="70" t="s">
        <v>2274</v>
      </c>
      <c r="X251" s="70" t="s">
        <v>2274</v>
      </c>
      <c r="Y251" s="70" t="s">
        <v>2274</v>
      </c>
      <c r="Z251" s="70" t="s">
        <v>2274</v>
      </c>
      <c r="AA251" s="70"/>
      <c r="AB251" s="70"/>
      <c r="AC251" s="70" t="s">
        <v>2274</v>
      </c>
      <c r="AD251" s="70" t="s">
        <v>2274</v>
      </c>
      <c r="AE251" s="70" t="s">
        <v>2274</v>
      </c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</row>
    <row r="252" spans="1:44" s="90" customFormat="1" ht="15" hidden="1" thickBot="1" x14ac:dyDescent="0.35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2245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" hidden="1" thickBot="1" x14ac:dyDescent="0.35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" hidden="1" thickBot="1" x14ac:dyDescent="0.35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14</v>
      </c>
      <c r="K254" s="146" t="s">
        <v>1854</v>
      </c>
      <c r="L254" s="31">
        <f t="shared" si="16"/>
        <v>14</v>
      </c>
      <c r="M254" s="32">
        <f t="shared" si="17"/>
        <v>0.5</v>
      </c>
      <c r="N254" s="70" t="s">
        <v>2274</v>
      </c>
      <c r="O254" s="70" t="s">
        <v>2274</v>
      </c>
      <c r="P254" s="70" t="s">
        <v>2274</v>
      </c>
      <c r="Q254" s="70" t="s">
        <v>2274</v>
      </c>
      <c r="R254" s="70" t="s">
        <v>2274</v>
      </c>
      <c r="S254" s="70" t="s">
        <v>2274</v>
      </c>
      <c r="T254" s="70" t="s">
        <v>2274</v>
      </c>
      <c r="U254" s="70"/>
      <c r="V254" s="70"/>
      <c r="W254" s="70" t="s">
        <v>2274</v>
      </c>
      <c r="X254" s="70" t="s">
        <v>2274</v>
      </c>
      <c r="Y254" s="70" t="s">
        <v>2274</v>
      </c>
      <c r="Z254" s="70" t="s">
        <v>2274</v>
      </c>
      <c r="AA254" s="70"/>
      <c r="AB254" s="70"/>
      <c r="AC254" s="70" t="s">
        <v>2274</v>
      </c>
      <c r="AD254" s="70" t="s">
        <v>2274</v>
      </c>
      <c r="AE254" s="70" t="s">
        <v>2274</v>
      </c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</row>
    <row r="255" spans="1:44" ht="15" hidden="1" thickBot="1" x14ac:dyDescent="0.35">
      <c r="A255" s="69" t="s">
        <v>286</v>
      </c>
      <c r="B255" s="69" t="s">
        <v>2287</v>
      </c>
      <c r="C255" t="s">
        <v>1058</v>
      </c>
      <c r="D255" s="69" t="s">
        <v>2288</v>
      </c>
      <c r="E255" s="30" t="s">
        <v>72</v>
      </c>
      <c r="F255" s="85" t="s">
        <v>1296</v>
      </c>
      <c r="G255" s="30"/>
      <c r="H255" s="152" t="s">
        <v>2289</v>
      </c>
      <c r="I255" s="152"/>
      <c r="J255" s="31">
        <f t="shared" si="15"/>
        <v>13</v>
      </c>
      <c r="K255" s="146" t="s">
        <v>2290</v>
      </c>
      <c r="L255" s="31">
        <f t="shared" si="16"/>
        <v>15</v>
      </c>
      <c r="M255" s="32">
        <f t="shared" si="17"/>
        <v>0.4642857142857143</v>
      </c>
      <c r="N255" s="70" t="s">
        <v>2274</v>
      </c>
      <c r="O255" s="70" t="s">
        <v>2274</v>
      </c>
      <c r="P255" s="70" t="s">
        <v>2274</v>
      </c>
      <c r="Q255" s="70" t="s">
        <v>2274</v>
      </c>
      <c r="R255" s="70" t="s">
        <v>2274</v>
      </c>
      <c r="S255" s="70" t="s">
        <v>2274</v>
      </c>
      <c r="T255" s="70" t="s">
        <v>2274</v>
      </c>
      <c r="U255" s="70"/>
      <c r="V255" s="70" t="s">
        <v>2274</v>
      </c>
      <c r="W255" s="70" t="s">
        <v>2274</v>
      </c>
      <c r="X255" s="70" t="s">
        <v>2274</v>
      </c>
      <c r="Y255" s="70" t="s">
        <v>2274</v>
      </c>
      <c r="Z255" s="70" t="s">
        <v>2274</v>
      </c>
      <c r="AA255" s="70"/>
      <c r="AB255" s="70"/>
      <c r="AC255" s="70" t="s">
        <v>2274</v>
      </c>
      <c r="AD255" s="70" t="s">
        <v>2274</v>
      </c>
      <c r="AE255" s="70" t="s">
        <v>2274</v>
      </c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</row>
    <row r="256" spans="1:44" ht="15" hidden="1" thickBot="1" x14ac:dyDescent="0.35">
      <c r="A256" t="s">
        <v>286</v>
      </c>
      <c r="B256" t="s">
        <v>2291</v>
      </c>
      <c r="C256" t="s">
        <v>1058</v>
      </c>
      <c r="D256" t="s">
        <v>2288</v>
      </c>
      <c r="E256" s="30" t="s">
        <v>14</v>
      </c>
      <c r="F256" s="85" t="s">
        <v>1296</v>
      </c>
      <c r="G256" s="30"/>
      <c r="H256" s="30" t="s">
        <v>2292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2274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" hidden="1" thickBot="1" x14ac:dyDescent="0.35">
      <c r="A257" t="s">
        <v>286</v>
      </c>
      <c r="B257" t="s">
        <v>2293</v>
      </c>
      <c r="C257" t="s">
        <v>1058</v>
      </c>
      <c r="D257" t="s">
        <v>2294</v>
      </c>
      <c r="E257" s="30" t="s">
        <v>14</v>
      </c>
      <c r="F257" s="85" t="s">
        <v>1296</v>
      </c>
      <c r="G257" s="30"/>
      <c r="H257" s="30" t="s">
        <v>2295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" hidden="1" thickBot="1" x14ac:dyDescent="0.35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" hidden="1" thickBot="1" x14ac:dyDescent="0.35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" hidden="1" thickBot="1" x14ac:dyDescent="0.35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" hidden="1" thickBot="1" x14ac:dyDescent="0.35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" thickBot="1" x14ac:dyDescent="0.35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" hidden="1" thickBot="1" x14ac:dyDescent="0.35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hidden="1" customHeight="1" thickBot="1" x14ac:dyDescent="0.35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hidden="1" customHeight="1" thickBot="1" x14ac:dyDescent="0.35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27</v>
      </c>
      <c r="K265" s="146" t="s">
        <v>1860</v>
      </c>
      <c r="L265" s="31">
        <f t="shared" si="16"/>
        <v>1</v>
      </c>
      <c r="M265" s="32">
        <f t="shared" si="17"/>
        <v>0.9642857142857143</v>
      </c>
      <c r="N265" s="70"/>
      <c r="O265" s="70"/>
      <c r="P265" s="70"/>
      <c r="Q265" s="70"/>
      <c r="R265" s="70"/>
      <c r="S265" s="70" t="s">
        <v>2274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</row>
    <row r="266" spans="1:44" ht="15" hidden="1" customHeight="1" thickBot="1" x14ac:dyDescent="0.35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27</v>
      </c>
      <c r="K266" s="146" t="s">
        <v>1861</v>
      </c>
      <c r="L266" s="31">
        <f t="shared" si="16"/>
        <v>1</v>
      </c>
      <c r="M266" s="32">
        <f t="shared" si="17"/>
        <v>0.9642857142857143</v>
      </c>
      <c r="N266" s="70"/>
      <c r="O266" s="70"/>
      <c r="P266" s="70"/>
      <c r="Q266" s="70"/>
      <c r="R266" s="70"/>
      <c r="S266" s="70" t="s">
        <v>2274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</row>
    <row r="267" spans="1:44" s="73" customFormat="1" ht="15" hidden="1" thickBot="1" x14ac:dyDescent="0.35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" hidden="1" thickBot="1" x14ac:dyDescent="0.35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" hidden="1" thickBot="1" x14ac:dyDescent="0.35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" hidden="1" thickBot="1" x14ac:dyDescent="0.35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" hidden="1" thickBot="1" x14ac:dyDescent="0.35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" hidden="1" thickBot="1" x14ac:dyDescent="0.35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19</v>
      </c>
      <c r="K272" s="146" t="s">
        <v>1866</v>
      </c>
      <c r="L272" s="31">
        <f t="shared" si="16"/>
        <v>9</v>
      </c>
      <c r="M272" s="32">
        <f t="shared" si="17"/>
        <v>0.6785714285714286</v>
      </c>
      <c r="N272" s="70" t="s">
        <v>2274</v>
      </c>
      <c r="O272" s="70" t="s">
        <v>2274</v>
      </c>
      <c r="P272" s="70" t="s">
        <v>2274</v>
      </c>
      <c r="Q272" s="70" t="s">
        <v>2274</v>
      </c>
      <c r="R272" s="70" t="s">
        <v>2274</v>
      </c>
      <c r="S272" s="70" t="s">
        <v>2274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2274</v>
      </c>
      <c r="AD272" s="70" t="s">
        <v>2274</v>
      </c>
      <c r="AE272" s="70" t="s">
        <v>2274</v>
      </c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</row>
    <row r="273" spans="1:44" s="73" customFormat="1" ht="15" hidden="1" thickBot="1" x14ac:dyDescent="0.35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2322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" hidden="1" thickBot="1" x14ac:dyDescent="0.35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28</v>
      </c>
      <c r="K274" s="146" t="s">
        <v>1868</v>
      </c>
      <c r="L274" s="31">
        <f t="shared" si="16"/>
        <v>0</v>
      </c>
      <c r="M274" s="32">
        <f t="shared" si="17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" hidden="1" thickBot="1" x14ac:dyDescent="0.35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2322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" hidden="1" thickBot="1" x14ac:dyDescent="0.35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2320</v>
      </c>
      <c r="I276" s="30"/>
      <c r="J276" s="31">
        <f t="shared" si="15"/>
        <v>27</v>
      </c>
      <c r="K276" s="149" t="s">
        <v>1870</v>
      </c>
      <c r="L276" s="31">
        <f t="shared" si="16"/>
        <v>1</v>
      </c>
      <c r="M276" s="32">
        <f t="shared" si="17"/>
        <v>0.9642857142857143</v>
      </c>
      <c r="N276" s="70"/>
      <c r="O276" s="70"/>
      <c r="P276" s="70"/>
      <c r="Q276" s="70"/>
      <c r="R276" s="70"/>
      <c r="S276" s="70" t="s">
        <v>2274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</row>
    <row r="277" spans="1:44" ht="15" hidden="1" thickBot="1" x14ac:dyDescent="0.35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2274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" hidden="1" thickBot="1" x14ac:dyDescent="0.35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" hidden="1" thickBot="1" x14ac:dyDescent="0.35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2322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" hidden="1" thickBot="1" x14ac:dyDescent="0.35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2322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" hidden="1" thickBot="1" x14ac:dyDescent="0.35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" hidden="1" thickBot="1" x14ac:dyDescent="0.35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" hidden="1" thickBot="1" x14ac:dyDescent="0.35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2274</v>
      </c>
      <c r="AA283" s="70"/>
      <c r="AB283" s="70"/>
      <c r="AC283" s="70" t="s">
        <v>2274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" hidden="1" thickBot="1" x14ac:dyDescent="0.35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" hidden="1" thickBot="1" x14ac:dyDescent="0.35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2274</v>
      </c>
      <c r="P285" s="70"/>
      <c r="Q285" s="70"/>
      <c r="R285" s="70"/>
      <c r="S285" s="70"/>
      <c r="T285" s="70"/>
      <c r="U285" s="70"/>
      <c r="V285" s="70"/>
      <c r="W285" s="70"/>
      <c r="X285" s="70" t="s">
        <v>2274</v>
      </c>
      <c r="Y285" s="70"/>
      <c r="Z285" s="70" t="s">
        <v>2274</v>
      </c>
      <c r="AA285" s="70"/>
      <c r="AB285" s="70"/>
      <c r="AC285" s="70" t="s">
        <v>2274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" hidden="1" thickBot="1" x14ac:dyDescent="0.35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2274</v>
      </c>
      <c r="Q286" s="70"/>
      <c r="R286" s="70"/>
      <c r="S286" s="70" t="s">
        <v>2274</v>
      </c>
      <c r="T286" s="70"/>
      <c r="U286" s="70"/>
      <c r="V286" s="70"/>
      <c r="W286" s="70"/>
      <c r="X286" s="70"/>
      <c r="Y286" s="70"/>
      <c r="Z286" s="70" t="s">
        <v>2274</v>
      </c>
      <c r="AA286" s="70"/>
      <c r="AB286" s="70"/>
      <c r="AC286" s="70" t="s">
        <v>2274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" hidden="1" thickBot="1" x14ac:dyDescent="0.35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2274</v>
      </c>
      <c r="O287" s="70" t="s">
        <v>2274</v>
      </c>
      <c r="P287" s="70"/>
      <c r="Q287" s="70"/>
      <c r="R287" s="70"/>
      <c r="S287" s="70" t="s">
        <v>2274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" hidden="1" thickBot="1" x14ac:dyDescent="0.35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" hidden="1" thickBot="1" x14ac:dyDescent="0.35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" hidden="1" thickBot="1" x14ac:dyDescent="0.35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" hidden="1" thickBot="1" x14ac:dyDescent="0.35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2274</v>
      </c>
      <c r="Q291" s="70" t="s">
        <v>2274</v>
      </c>
      <c r="R291" s="70" t="s">
        <v>2274</v>
      </c>
      <c r="S291" s="70"/>
      <c r="T291" s="70" t="s">
        <v>2274</v>
      </c>
      <c r="U291" s="70"/>
      <c r="V291" s="70"/>
      <c r="W291" s="70" t="s">
        <v>2274</v>
      </c>
      <c r="X291" s="70" t="s">
        <v>2274</v>
      </c>
      <c r="Y291" s="70" t="s">
        <v>2274</v>
      </c>
      <c r="Z291" s="70" t="s">
        <v>2274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hidden="1" customHeight="1" thickBot="1" x14ac:dyDescent="0.35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2274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" hidden="1" thickBot="1" x14ac:dyDescent="0.35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" hidden="1" thickBot="1" x14ac:dyDescent="0.35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" hidden="1" thickBot="1" x14ac:dyDescent="0.35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27</v>
      </c>
      <c r="K295" s="146" t="s">
        <v>1885</v>
      </c>
      <c r="L295" s="31">
        <f t="shared" si="16"/>
        <v>1</v>
      </c>
      <c r="M295" s="32">
        <f t="shared" si="17"/>
        <v>0.9642857142857143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" hidden="1" thickBot="1" x14ac:dyDescent="0.35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28</v>
      </c>
      <c r="K296" s="146" t="s">
        <v>1886</v>
      </c>
      <c r="L296" s="31">
        <f t="shared" si="16"/>
        <v>0</v>
      </c>
      <c r="M296" s="32">
        <f t="shared" si="17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" hidden="1" thickBot="1" x14ac:dyDescent="0.35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28</v>
      </c>
      <c r="K297" s="146" t="s">
        <v>1887</v>
      </c>
      <c r="L297" s="31">
        <f t="shared" si="16"/>
        <v>0</v>
      </c>
      <c r="M297" s="32">
        <f t="shared" si="17"/>
        <v>1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" hidden="1" thickBot="1" x14ac:dyDescent="0.35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28</v>
      </c>
      <c r="K298" s="146" t="s">
        <v>1888</v>
      </c>
      <c r="L298" s="31">
        <f t="shared" si="16"/>
        <v>0</v>
      </c>
      <c r="M298" s="32">
        <f t="shared" si="17"/>
        <v>1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" hidden="1" thickBot="1" x14ac:dyDescent="0.35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28</v>
      </c>
      <c r="K299" s="146" t="s">
        <v>1889</v>
      </c>
      <c r="L299" s="31">
        <f t="shared" si="16"/>
        <v>0</v>
      </c>
      <c r="M299" s="32">
        <f t="shared" si="17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" hidden="1" thickBot="1" x14ac:dyDescent="0.35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" hidden="1" thickBot="1" x14ac:dyDescent="0.35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" hidden="1" thickBot="1" x14ac:dyDescent="0.35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" hidden="1" thickBot="1" x14ac:dyDescent="0.35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20</v>
      </c>
      <c r="K303" s="146" t="s">
        <v>1893</v>
      </c>
      <c r="L303" s="31">
        <f t="shared" si="16"/>
        <v>8</v>
      </c>
      <c r="M303" s="32">
        <f t="shared" si="17"/>
        <v>0.7142857142857143</v>
      </c>
      <c r="N303" s="70"/>
      <c r="O303" s="70"/>
      <c r="P303" s="70"/>
      <c r="Q303" s="70" t="s">
        <v>2274</v>
      </c>
      <c r="R303" s="70" t="s">
        <v>2274</v>
      </c>
      <c r="S303" s="70" t="s">
        <v>2274</v>
      </c>
      <c r="T303" s="70" t="s">
        <v>2274</v>
      </c>
      <c r="U303" s="70"/>
      <c r="V303" s="70" t="s">
        <v>2274</v>
      </c>
      <c r="W303" s="70"/>
      <c r="X303" s="70"/>
      <c r="Y303" s="70"/>
      <c r="Z303" s="70"/>
      <c r="AA303" s="70"/>
      <c r="AB303" s="70"/>
      <c r="AC303" s="70" t="s">
        <v>2274</v>
      </c>
      <c r="AD303" s="70" t="s">
        <v>2274</v>
      </c>
      <c r="AE303" s="70" t="s">
        <v>2274</v>
      </c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</row>
    <row r="304" spans="1:44" ht="21" hidden="1" customHeight="1" thickBot="1" x14ac:dyDescent="0.35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13</v>
      </c>
      <c r="K304" s="146" t="s">
        <v>1894</v>
      </c>
      <c r="L304" s="31">
        <f t="shared" si="16"/>
        <v>15</v>
      </c>
      <c r="M304" s="32">
        <f t="shared" si="17"/>
        <v>0.4642857142857143</v>
      </c>
      <c r="N304" s="70" t="s">
        <v>2274</v>
      </c>
      <c r="O304" s="70" t="s">
        <v>2274</v>
      </c>
      <c r="P304" s="70" t="s">
        <v>2274</v>
      </c>
      <c r="Q304" s="70" t="s">
        <v>2274</v>
      </c>
      <c r="R304" s="70" t="s">
        <v>2274</v>
      </c>
      <c r="S304" s="70" t="s">
        <v>2274</v>
      </c>
      <c r="T304" s="70" t="s">
        <v>2274</v>
      </c>
      <c r="U304" s="70"/>
      <c r="V304" s="70" t="s">
        <v>2274</v>
      </c>
      <c r="W304" s="70" t="s">
        <v>2274</v>
      </c>
      <c r="X304" s="70" t="s">
        <v>2274</v>
      </c>
      <c r="Y304" s="70" t="s">
        <v>2274</v>
      </c>
      <c r="Z304" s="70" t="s">
        <v>2274</v>
      </c>
      <c r="AA304" s="70"/>
      <c r="AB304" s="70"/>
      <c r="AC304" s="70" t="s">
        <v>2274</v>
      </c>
      <c r="AD304" s="70" t="s">
        <v>2274</v>
      </c>
      <c r="AE304" s="70" t="s">
        <v>2274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</row>
    <row r="305" spans="1:44" ht="15" hidden="1" thickBot="1" x14ac:dyDescent="0.35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2274</v>
      </c>
      <c r="R305" s="70" t="s">
        <v>2274</v>
      </c>
      <c r="S305" s="70" t="s">
        <v>2274</v>
      </c>
      <c r="T305" s="70" t="s">
        <v>2274</v>
      </c>
      <c r="U305" s="70"/>
      <c r="V305" s="70" t="s">
        <v>2274</v>
      </c>
      <c r="W305" s="70" t="s">
        <v>2274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" hidden="1" thickBot="1" x14ac:dyDescent="0.35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23</v>
      </c>
      <c r="K306" s="146" t="s">
        <v>1896</v>
      </c>
      <c r="L306" s="31">
        <f t="shared" si="16"/>
        <v>5</v>
      </c>
      <c r="M306" s="32">
        <f t="shared" si="17"/>
        <v>0.8214285714285714</v>
      </c>
      <c r="N306" s="70"/>
      <c r="O306" s="70"/>
      <c r="P306" s="70"/>
      <c r="Q306" s="70" t="s">
        <v>2274</v>
      </c>
      <c r="R306" s="70" t="s">
        <v>2274</v>
      </c>
      <c r="S306" s="70" t="s">
        <v>2274</v>
      </c>
      <c r="T306" s="70" t="s">
        <v>2274</v>
      </c>
      <c r="U306" s="70"/>
      <c r="V306" s="70" t="s">
        <v>2274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</row>
    <row r="307" spans="1:44" ht="15" hidden="1" thickBot="1" x14ac:dyDescent="0.35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16</v>
      </c>
      <c r="K307" s="146" t="s">
        <v>1897</v>
      </c>
      <c r="L307" s="31">
        <f t="shared" si="16"/>
        <v>12</v>
      </c>
      <c r="M307" s="32">
        <f t="shared" si="17"/>
        <v>0.5714285714285714</v>
      </c>
      <c r="N307" s="70"/>
      <c r="O307" s="70"/>
      <c r="P307" s="70"/>
      <c r="Q307" s="70" t="s">
        <v>2274</v>
      </c>
      <c r="R307" s="70" t="s">
        <v>2274</v>
      </c>
      <c r="S307" s="70" t="s">
        <v>2274</v>
      </c>
      <c r="T307" s="70" t="s">
        <v>2274</v>
      </c>
      <c r="U307" s="70"/>
      <c r="V307" s="70" t="s">
        <v>2274</v>
      </c>
      <c r="W307" s="70" t="s">
        <v>2274</v>
      </c>
      <c r="X307" s="70" t="s">
        <v>2274</v>
      </c>
      <c r="Y307" s="70" t="s">
        <v>2274</v>
      </c>
      <c r="Z307" s="70" t="s">
        <v>2274</v>
      </c>
      <c r="AA307" s="70"/>
      <c r="AB307" s="70"/>
      <c r="AC307" s="70" t="s">
        <v>2274</v>
      </c>
      <c r="AD307" s="70" t="s">
        <v>2274</v>
      </c>
      <c r="AE307" s="70" t="s">
        <v>2274</v>
      </c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</row>
    <row r="308" spans="1:44" ht="15" hidden="1" thickBot="1" x14ac:dyDescent="0.35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16</v>
      </c>
      <c r="K308" s="146" t="s">
        <v>1898</v>
      </c>
      <c r="L308" s="31">
        <f t="shared" si="16"/>
        <v>12</v>
      </c>
      <c r="M308" s="32">
        <f t="shared" si="17"/>
        <v>0.5714285714285714</v>
      </c>
      <c r="N308" s="70"/>
      <c r="O308" s="70"/>
      <c r="P308" s="70"/>
      <c r="Q308" s="70" t="s">
        <v>2274</v>
      </c>
      <c r="R308" s="70" t="s">
        <v>2274</v>
      </c>
      <c r="S308" s="70" t="s">
        <v>2274</v>
      </c>
      <c r="T308" s="70" t="s">
        <v>2274</v>
      </c>
      <c r="U308" s="70"/>
      <c r="V308" s="70" t="s">
        <v>2274</v>
      </c>
      <c r="W308" s="70" t="s">
        <v>2274</v>
      </c>
      <c r="X308" s="70" t="s">
        <v>2274</v>
      </c>
      <c r="Y308" s="70" t="s">
        <v>2274</v>
      </c>
      <c r="Z308" s="70" t="s">
        <v>2274</v>
      </c>
      <c r="AA308" s="70"/>
      <c r="AB308" s="70"/>
      <c r="AC308" s="70" t="s">
        <v>2274</v>
      </c>
      <c r="AD308" s="70" t="s">
        <v>2274</v>
      </c>
      <c r="AE308" s="70" t="s">
        <v>2274</v>
      </c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</row>
    <row r="309" spans="1:44" ht="15" hidden="1" thickBot="1" x14ac:dyDescent="0.35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2274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" hidden="1" thickBot="1" x14ac:dyDescent="0.35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" hidden="1" thickBot="1" x14ac:dyDescent="0.35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2274</v>
      </c>
      <c r="O311" s="70" t="s">
        <v>2274</v>
      </c>
      <c r="P311" s="70" t="s">
        <v>2274</v>
      </c>
      <c r="Q311" s="70" t="s">
        <v>2274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" hidden="1" thickBot="1" x14ac:dyDescent="0.35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28</v>
      </c>
      <c r="K312" s="146" t="s">
        <v>1902</v>
      </c>
      <c r="L312" s="31">
        <f t="shared" si="16"/>
        <v>0</v>
      </c>
      <c r="M312" s="32">
        <f t="shared" si="17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" hidden="1" thickBot="1" x14ac:dyDescent="0.35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28</v>
      </c>
      <c r="K313" s="146" t="s">
        <v>1903</v>
      </c>
      <c r="L313" s="31">
        <f t="shared" si="16"/>
        <v>0</v>
      </c>
      <c r="M313" s="32">
        <f t="shared" si="17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" hidden="1" thickBot="1" x14ac:dyDescent="0.35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28</v>
      </c>
      <c r="K314" s="146" t="s">
        <v>1904</v>
      </c>
      <c r="L314" s="31">
        <f t="shared" si="16"/>
        <v>0</v>
      </c>
      <c r="M314" s="32">
        <f t="shared" si="17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" hidden="1" thickBot="1" x14ac:dyDescent="0.35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" hidden="1" thickBot="1" x14ac:dyDescent="0.35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13</v>
      </c>
      <c r="K316" s="146" t="s">
        <v>1905</v>
      </c>
      <c r="L316" s="141">
        <f t="shared" si="16"/>
        <v>15</v>
      </c>
      <c r="M316" s="142">
        <f t="shared" si="17"/>
        <v>0.4642857142857143</v>
      </c>
      <c r="N316" s="70" t="s">
        <v>2274</v>
      </c>
      <c r="O316" s="70" t="s">
        <v>2274</v>
      </c>
      <c r="P316" s="70" t="s">
        <v>2274</v>
      </c>
      <c r="Q316" s="70" t="s">
        <v>2274</v>
      </c>
      <c r="R316" s="70" t="s">
        <v>2274</v>
      </c>
      <c r="S316" s="70" t="s">
        <v>2274</v>
      </c>
      <c r="T316" s="70" t="s">
        <v>2274</v>
      </c>
      <c r="U316" s="70"/>
      <c r="V316" s="70" t="s">
        <v>2274</v>
      </c>
      <c r="W316" s="70" t="s">
        <v>2274</v>
      </c>
      <c r="X316" s="70" t="s">
        <v>2274</v>
      </c>
      <c r="Y316" s="70" t="s">
        <v>2274</v>
      </c>
      <c r="Z316" s="70" t="s">
        <v>2274</v>
      </c>
      <c r="AA316" s="70"/>
      <c r="AB316" s="70"/>
      <c r="AC316" s="70" t="s">
        <v>2274</v>
      </c>
      <c r="AD316" s="70" t="s">
        <v>2274</v>
      </c>
      <c r="AE316" s="70" t="s">
        <v>2274</v>
      </c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</row>
    <row r="317" spans="1:44" s="73" customFormat="1" ht="15" hidden="1" thickBot="1" x14ac:dyDescent="0.35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" hidden="1" thickBot="1" x14ac:dyDescent="0.35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13</v>
      </c>
      <c r="K318" s="146" t="s">
        <v>1906</v>
      </c>
      <c r="L318" s="31">
        <f t="shared" ref="L318:L388" si="19">COUNTIF(N318:AO318,"APAGADO")</f>
        <v>15</v>
      </c>
      <c r="M318" s="32">
        <f t="shared" ref="M318:M388" si="20">(J318)/(L318+J318)</f>
        <v>0.4642857142857143</v>
      </c>
      <c r="N318" s="70" t="s">
        <v>2274</v>
      </c>
      <c r="O318" s="70" t="s">
        <v>2274</v>
      </c>
      <c r="P318" s="70" t="s">
        <v>2274</v>
      </c>
      <c r="Q318" s="70" t="s">
        <v>2274</v>
      </c>
      <c r="R318" s="70" t="s">
        <v>2274</v>
      </c>
      <c r="S318" s="70" t="s">
        <v>2274</v>
      </c>
      <c r="T318" s="70" t="s">
        <v>2274</v>
      </c>
      <c r="U318" s="70"/>
      <c r="V318" s="70" t="s">
        <v>2274</v>
      </c>
      <c r="W318" s="70" t="s">
        <v>2274</v>
      </c>
      <c r="X318" s="70" t="s">
        <v>2274</v>
      </c>
      <c r="Y318" s="70" t="s">
        <v>2274</v>
      </c>
      <c r="Z318" s="70" t="s">
        <v>2274</v>
      </c>
      <c r="AA318" s="70"/>
      <c r="AB318" s="70"/>
      <c r="AC318" s="70" t="s">
        <v>2274</v>
      </c>
      <c r="AD318" s="70" t="s">
        <v>2274</v>
      </c>
      <c r="AE318" s="70" t="s">
        <v>2274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</row>
    <row r="319" spans="1:44" s="73" customFormat="1" ht="15" hidden="1" thickBot="1" x14ac:dyDescent="0.35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13</v>
      </c>
      <c r="K319" s="146" t="s">
        <v>1907</v>
      </c>
      <c r="L319" s="141">
        <f t="shared" si="19"/>
        <v>15</v>
      </c>
      <c r="M319" s="142">
        <f t="shared" si="20"/>
        <v>0.4642857142857143</v>
      </c>
      <c r="N319" s="70" t="s">
        <v>2274</v>
      </c>
      <c r="O319" s="70" t="s">
        <v>2274</v>
      </c>
      <c r="P319" s="70" t="s">
        <v>2274</v>
      </c>
      <c r="Q319" s="70" t="s">
        <v>2274</v>
      </c>
      <c r="R319" s="70" t="s">
        <v>2274</v>
      </c>
      <c r="S319" s="70" t="s">
        <v>2274</v>
      </c>
      <c r="T319" s="70" t="s">
        <v>2274</v>
      </c>
      <c r="U319" s="70"/>
      <c r="V319" s="70" t="s">
        <v>2274</v>
      </c>
      <c r="W319" s="70" t="s">
        <v>2274</v>
      </c>
      <c r="X319" s="70" t="s">
        <v>2274</v>
      </c>
      <c r="Y319" s="70" t="s">
        <v>2274</v>
      </c>
      <c r="Z319" s="70" t="s">
        <v>2274</v>
      </c>
      <c r="AA319" s="70"/>
      <c r="AB319" s="70"/>
      <c r="AC319" s="70" t="s">
        <v>2274</v>
      </c>
      <c r="AD319" s="70" t="s">
        <v>2274</v>
      </c>
      <c r="AE319" s="70" t="s">
        <v>2274</v>
      </c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</row>
    <row r="320" spans="1:44" s="73" customFormat="1" ht="15" hidden="1" thickBot="1" x14ac:dyDescent="0.35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13</v>
      </c>
      <c r="K320" s="87" t="s">
        <v>2183</v>
      </c>
      <c r="L320" s="141">
        <f t="shared" si="19"/>
        <v>15</v>
      </c>
      <c r="M320" s="142">
        <f t="shared" si="20"/>
        <v>0.4642857142857143</v>
      </c>
      <c r="N320" s="70" t="s">
        <v>2274</v>
      </c>
      <c r="O320" s="70" t="s">
        <v>2274</v>
      </c>
      <c r="P320" s="70" t="s">
        <v>2274</v>
      </c>
      <c r="Q320" s="70" t="s">
        <v>2274</v>
      </c>
      <c r="R320" s="70" t="s">
        <v>2274</v>
      </c>
      <c r="S320" s="70" t="s">
        <v>2274</v>
      </c>
      <c r="T320" s="70" t="s">
        <v>2274</v>
      </c>
      <c r="U320" s="70"/>
      <c r="V320" s="70" t="s">
        <v>2274</v>
      </c>
      <c r="W320" s="70" t="s">
        <v>2274</v>
      </c>
      <c r="X320" s="70" t="s">
        <v>2274</v>
      </c>
      <c r="Y320" s="70" t="s">
        <v>2274</v>
      </c>
      <c r="Z320" s="70" t="s">
        <v>2274</v>
      </c>
      <c r="AA320" s="70"/>
      <c r="AB320" s="70"/>
      <c r="AC320" s="70" t="s">
        <v>2274</v>
      </c>
      <c r="AD320" s="70" t="s">
        <v>2274</v>
      </c>
      <c r="AE320" s="70" t="s">
        <v>2274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</row>
    <row r="321" spans="1:44" s="73" customFormat="1" ht="15" hidden="1" thickBot="1" x14ac:dyDescent="0.35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13</v>
      </c>
      <c r="K321" s="146" t="s">
        <v>1908</v>
      </c>
      <c r="L321" s="141">
        <f t="shared" si="19"/>
        <v>15</v>
      </c>
      <c r="M321" s="142">
        <f t="shared" si="20"/>
        <v>0.4642857142857143</v>
      </c>
      <c r="N321" s="70" t="s">
        <v>2274</v>
      </c>
      <c r="O321" s="70" t="s">
        <v>2274</v>
      </c>
      <c r="P321" s="70" t="s">
        <v>2274</v>
      </c>
      <c r="Q321" s="70" t="s">
        <v>2274</v>
      </c>
      <c r="R321" s="70" t="s">
        <v>2274</v>
      </c>
      <c r="S321" s="70" t="s">
        <v>2274</v>
      </c>
      <c r="T321" s="70" t="s">
        <v>2274</v>
      </c>
      <c r="U321" s="70"/>
      <c r="V321" s="70" t="s">
        <v>2274</v>
      </c>
      <c r="W321" s="70" t="s">
        <v>2274</v>
      </c>
      <c r="X321" s="70" t="s">
        <v>2274</v>
      </c>
      <c r="Y321" s="70" t="s">
        <v>2274</v>
      </c>
      <c r="Z321" s="70" t="s">
        <v>2274</v>
      </c>
      <c r="AA321" s="70"/>
      <c r="AB321" s="70"/>
      <c r="AC321" s="70" t="s">
        <v>2274</v>
      </c>
      <c r="AD321" s="70" t="s">
        <v>2274</v>
      </c>
      <c r="AE321" s="70" t="s">
        <v>2274</v>
      </c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</row>
    <row r="322" spans="1:44" ht="15" hidden="1" thickBot="1" x14ac:dyDescent="0.35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20</v>
      </c>
      <c r="K322" s="146" t="s">
        <v>1909</v>
      </c>
      <c r="L322" s="31">
        <f t="shared" si="19"/>
        <v>8</v>
      </c>
      <c r="M322" s="32">
        <f t="shared" si="20"/>
        <v>0.7142857142857143</v>
      </c>
      <c r="N322" s="70"/>
      <c r="O322" s="70" t="s">
        <v>2274</v>
      </c>
      <c r="P322" s="70" t="s">
        <v>2274</v>
      </c>
      <c r="Q322" s="70"/>
      <c r="R322" s="70"/>
      <c r="S322" s="70" t="s">
        <v>2274</v>
      </c>
      <c r="T322" s="70" t="s">
        <v>2274</v>
      </c>
      <c r="U322" s="70"/>
      <c r="V322" s="70"/>
      <c r="W322" s="70" t="s">
        <v>2274</v>
      </c>
      <c r="X322" s="70"/>
      <c r="Y322" s="70" t="s">
        <v>2274</v>
      </c>
      <c r="Z322" s="70"/>
      <c r="AA322" s="70"/>
      <c r="AB322" s="70"/>
      <c r="AC322" s="70"/>
      <c r="AD322" s="70" t="s">
        <v>2274</v>
      </c>
      <c r="AE322" s="70" t="s">
        <v>2274</v>
      </c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</row>
    <row r="323" spans="1:44" ht="15" hidden="1" thickBot="1" x14ac:dyDescent="0.35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27</v>
      </c>
      <c r="K323" s="146" t="s">
        <v>1910</v>
      </c>
      <c r="L323" s="31">
        <f t="shared" si="19"/>
        <v>1</v>
      </c>
      <c r="M323" s="32">
        <f t="shared" si="20"/>
        <v>0.9642857142857143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2274</v>
      </c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</row>
    <row r="324" spans="1:44" ht="15" hidden="1" thickBot="1" x14ac:dyDescent="0.35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27</v>
      </c>
      <c r="K324" s="146" t="s">
        <v>1911</v>
      </c>
      <c r="L324" s="31">
        <f t="shared" si="19"/>
        <v>1</v>
      </c>
      <c r="M324" s="32">
        <f t="shared" si="20"/>
        <v>0.9642857142857143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2274</v>
      </c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</row>
    <row r="325" spans="1:44" ht="15" hidden="1" thickBot="1" x14ac:dyDescent="0.35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" hidden="1" thickBot="1" x14ac:dyDescent="0.35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" hidden="1" thickBot="1" x14ac:dyDescent="0.35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" hidden="1" thickBot="1" x14ac:dyDescent="0.35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28</v>
      </c>
      <c r="K328" s="146" t="s">
        <v>1915</v>
      </c>
      <c r="L328" s="31">
        <f t="shared" si="19"/>
        <v>0</v>
      </c>
      <c r="M328" s="32">
        <f t="shared" si="20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</row>
    <row r="329" spans="1:44" ht="15" hidden="1" thickBot="1" x14ac:dyDescent="0.35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28</v>
      </c>
      <c r="K329" s="146" t="s">
        <v>1916</v>
      </c>
      <c r="L329" s="31">
        <f t="shared" si="19"/>
        <v>0</v>
      </c>
      <c r="M329" s="32">
        <f t="shared" si="20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</row>
    <row r="330" spans="1:44" ht="15" hidden="1" thickBot="1" x14ac:dyDescent="0.35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28</v>
      </c>
      <c r="K330" s="146" t="s">
        <v>1917</v>
      </c>
      <c r="L330" s="31">
        <f t="shared" si="19"/>
        <v>0</v>
      </c>
      <c r="M330" s="32">
        <f t="shared" si="20"/>
        <v>1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</row>
    <row r="331" spans="1:44" ht="15" hidden="1" thickBot="1" x14ac:dyDescent="0.35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28</v>
      </c>
      <c r="K331" s="146" t="s">
        <v>1918</v>
      </c>
      <c r="L331" s="31">
        <f t="shared" si="19"/>
        <v>0</v>
      </c>
      <c r="M331" s="32">
        <f t="shared" si="20"/>
        <v>1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</row>
    <row r="332" spans="1:44" ht="15" hidden="1" thickBot="1" x14ac:dyDescent="0.35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28</v>
      </c>
      <c r="K332" s="146" t="s">
        <v>1919</v>
      </c>
      <c r="L332" s="31">
        <f t="shared" si="19"/>
        <v>0</v>
      </c>
      <c r="M332" s="32">
        <f t="shared" si="20"/>
        <v>1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</row>
    <row r="333" spans="1:44" ht="15" hidden="1" thickBot="1" x14ac:dyDescent="0.35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28</v>
      </c>
      <c r="K333" s="146" t="s">
        <v>1920</v>
      </c>
      <c r="L333" s="31">
        <f t="shared" si="19"/>
        <v>0</v>
      </c>
      <c r="M333" s="32">
        <f t="shared" si="20"/>
        <v>1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</row>
    <row r="334" spans="1:44" ht="15" hidden="1" thickBot="1" x14ac:dyDescent="0.35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2274</v>
      </c>
      <c r="O334" s="70" t="s">
        <v>2274</v>
      </c>
      <c r="P334" s="70" t="s">
        <v>2274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" hidden="1" thickBot="1" x14ac:dyDescent="0.35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2274</v>
      </c>
      <c r="O335" s="70" t="s">
        <v>2274</v>
      </c>
      <c r="P335" s="70" t="s">
        <v>2274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" hidden="1" thickBot="1" x14ac:dyDescent="0.35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2274</v>
      </c>
      <c r="O336" s="70" t="s">
        <v>2274</v>
      </c>
      <c r="P336" s="70" t="s">
        <v>2274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" hidden="1" thickBot="1" x14ac:dyDescent="0.35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2274</v>
      </c>
      <c r="O337" s="70" t="s">
        <v>2274</v>
      </c>
      <c r="P337" s="70" t="s">
        <v>2274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" hidden="1" thickBot="1" x14ac:dyDescent="0.35">
      <c r="A338" t="s">
        <v>364</v>
      </c>
      <c r="B338" t="s">
        <v>2243</v>
      </c>
      <c r="C338" t="s">
        <v>1058</v>
      </c>
      <c r="D338" s="68" t="s">
        <v>2225</v>
      </c>
      <c r="E338" s="85" t="s">
        <v>14</v>
      </c>
      <c r="F338" s="30" t="s">
        <v>27</v>
      </c>
      <c r="G338" s="30"/>
      <c r="H338" s="30" t="s">
        <v>2244</v>
      </c>
      <c r="I338" s="30"/>
      <c r="J338" s="31">
        <f t="shared" si="18"/>
        <v>24</v>
      </c>
      <c r="K338" s="151" t="s">
        <v>2226</v>
      </c>
      <c r="L338" s="31">
        <f t="shared" si="19"/>
        <v>4</v>
      </c>
      <c r="M338" s="32">
        <f t="shared" si="20"/>
        <v>0.8571428571428571</v>
      </c>
      <c r="N338" s="70" t="s">
        <v>2274</v>
      </c>
      <c r="O338" s="70" t="s">
        <v>2274</v>
      </c>
      <c r="P338" s="70" t="s">
        <v>2274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2274</v>
      </c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</row>
    <row r="339" spans="1:44" ht="15" hidden="1" thickBot="1" x14ac:dyDescent="0.35">
      <c r="A339" t="s">
        <v>364</v>
      </c>
      <c r="B339" t="s">
        <v>2227</v>
      </c>
      <c r="C339" t="s">
        <v>1058</v>
      </c>
      <c r="D339" s="68" t="s">
        <v>2228</v>
      </c>
      <c r="E339" s="85" t="s">
        <v>14</v>
      </c>
      <c r="F339" s="30" t="s">
        <v>27</v>
      </c>
      <c r="G339" s="30"/>
      <c r="H339" s="30" t="s">
        <v>2229</v>
      </c>
      <c r="I339" s="30"/>
      <c r="J339" s="31">
        <f t="shared" si="18"/>
        <v>25</v>
      </c>
      <c r="K339" s="146" t="s">
        <v>2230</v>
      </c>
      <c r="L339" s="31">
        <f t="shared" si="19"/>
        <v>3</v>
      </c>
      <c r="M339" s="32">
        <f t="shared" si="20"/>
        <v>0.8928571428571429</v>
      </c>
      <c r="N339" s="70" t="s">
        <v>2274</v>
      </c>
      <c r="O339" s="70" t="s">
        <v>2274</v>
      </c>
      <c r="P339" s="70" t="s">
        <v>2274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" hidden="1" thickBot="1" x14ac:dyDescent="0.35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" hidden="1" thickBot="1" x14ac:dyDescent="0.35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" hidden="1" thickBot="1" x14ac:dyDescent="0.35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" hidden="1" thickBot="1" x14ac:dyDescent="0.35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" hidden="1" thickBot="1" x14ac:dyDescent="0.35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" hidden="1" thickBot="1" x14ac:dyDescent="0.35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28</v>
      </c>
      <c r="K345" s="146" t="s">
        <v>1930</v>
      </c>
      <c r="L345" s="31">
        <f t="shared" si="19"/>
        <v>0</v>
      </c>
      <c r="M345" s="32">
        <f t="shared" si="20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</row>
    <row r="346" spans="1:44" ht="15" hidden="1" thickBot="1" x14ac:dyDescent="0.35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" hidden="1" thickBot="1" x14ac:dyDescent="0.35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" hidden="1" thickBot="1" x14ac:dyDescent="0.35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28</v>
      </c>
      <c r="K348" s="146" t="s">
        <v>1933</v>
      </c>
      <c r="L348" s="31">
        <f t="shared" si="19"/>
        <v>0</v>
      </c>
      <c r="M348" s="32">
        <f t="shared" si="20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</row>
    <row r="349" spans="1:44" ht="15" hidden="1" thickBot="1" x14ac:dyDescent="0.35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" hidden="1" thickBot="1" x14ac:dyDescent="0.35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" hidden="1" thickBot="1" x14ac:dyDescent="0.35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" hidden="1" thickBot="1" x14ac:dyDescent="0.35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" hidden="1" thickBot="1" x14ac:dyDescent="0.35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" hidden="1" thickBot="1" x14ac:dyDescent="0.35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" hidden="1" thickBot="1" x14ac:dyDescent="0.35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" hidden="1" thickBot="1" x14ac:dyDescent="0.35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" hidden="1" thickBot="1" x14ac:dyDescent="0.35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" hidden="1" thickBot="1" x14ac:dyDescent="0.35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28</v>
      </c>
      <c r="K358" s="146" t="s">
        <v>1939</v>
      </c>
      <c r="L358" s="31">
        <f t="shared" si="19"/>
        <v>0</v>
      </c>
      <c r="M358" s="32">
        <f t="shared" si="20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" hidden="1" thickBot="1" x14ac:dyDescent="0.35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" hidden="1" thickBot="1" x14ac:dyDescent="0.35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" thickBot="1" x14ac:dyDescent="0.35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2220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" hidden="1" thickBot="1" x14ac:dyDescent="0.35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2221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" hidden="1" thickBot="1" x14ac:dyDescent="0.35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" hidden="1" thickBot="1" x14ac:dyDescent="0.35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" thickBot="1" x14ac:dyDescent="0.35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" thickBot="1" x14ac:dyDescent="0.35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" hidden="1" thickBot="1" x14ac:dyDescent="0.35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27</v>
      </c>
      <c r="K367" s="146" t="s">
        <v>1948</v>
      </c>
      <c r="L367" s="31">
        <f t="shared" si="19"/>
        <v>1</v>
      </c>
      <c r="M367" s="32">
        <f t="shared" si="20"/>
        <v>0.9642857142857143</v>
      </c>
      <c r="N367" s="70"/>
      <c r="O367" s="70"/>
      <c r="P367" s="70"/>
      <c r="Q367" s="70"/>
      <c r="R367" s="70"/>
      <c r="S367" s="70" t="s">
        <v>2274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</row>
    <row r="368" spans="1:44" ht="15" hidden="1" thickBot="1" x14ac:dyDescent="0.35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28</v>
      </c>
      <c r="K368" s="146" t="s">
        <v>1949</v>
      </c>
      <c r="L368" s="31">
        <f t="shared" si="19"/>
        <v>0</v>
      </c>
      <c r="M368" s="32">
        <f t="shared" si="20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</row>
    <row r="369" spans="1:44" s="73" customFormat="1" ht="15" hidden="1" thickBot="1" x14ac:dyDescent="0.35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" hidden="1" thickBot="1" x14ac:dyDescent="0.35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28</v>
      </c>
      <c r="K370" s="146" t="s">
        <v>1951</v>
      </c>
      <c r="L370" s="31">
        <f t="shared" si="19"/>
        <v>0</v>
      </c>
      <c r="M370" s="32">
        <f t="shared" si="20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</row>
    <row r="371" spans="1:44" s="73" customFormat="1" ht="15" hidden="1" thickBot="1" x14ac:dyDescent="0.35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" hidden="1" thickBot="1" x14ac:dyDescent="0.35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2274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" hidden="1" thickBot="1" x14ac:dyDescent="0.35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2322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" hidden="1" thickBot="1" x14ac:dyDescent="0.35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" hidden="1" thickBot="1" x14ac:dyDescent="0.35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" hidden="1" thickBot="1" x14ac:dyDescent="0.35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2322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" hidden="1" thickBot="1" x14ac:dyDescent="0.35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2322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" hidden="1" thickBot="1" x14ac:dyDescent="0.35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" hidden="1" thickBot="1" x14ac:dyDescent="0.35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2322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" hidden="1" thickBot="1" x14ac:dyDescent="0.35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2322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" hidden="1" thickBot="1" x14ac:dyDescent="0.35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2322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" hidden="1" thickBot="1" x14ac:dyDescent="0.35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2274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" hidden="1" thickBot="1" x14ac:dyDescent="0.35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13</v>
      </c>
      <c r="K383" s="73"/>
      <c r="L383" s="31">
        <f t="shared" si="19"/>
        <v>15</v>
      </c>
      <c r="M383" s="32">
        <f t="shared" si="20"/>
        <v>0.4642857142857143</v>
      </c>
      <c r="N383" s="70" t="s">
        <v>2274</v>
      </c>
      <c r="O383" s="70" t="s">
        <v>2274</v>
      </c>
      <c r="P383" s="70" t="s">
        <v>2274</v>
      </c>
      <c r="Q383" s="70" t="s">
        <v>2274</v>
      </c>
      <c r="R383" s="70" t="s">
        <v>2274</v>
      </c>
      <c r="S383" s="70" t="s">
        <v>2274</v>
      </c>
      <c r="T383" s="70" t="s">
        <v>2274</v>
      </c>
      <c r="U383" s="70"/>
      <c r="V383" s="70" t="s">
        <v>2274</v>
      </c>
      <c r="W383" s="70" t="s">
        <v>2274</v>
      </c>
      <c r="X383" s="70" t="s">
        <v>2274</v>
      </c>
      <c r="Y383" s="70" t="s">
        <v>2274</v>
      </c>
      <c r="Z383" s="70" t="s">
        <v>2274</v>
      </c>
      <c r="AA383" s="70"/>
      <c r="AB383" s="70"/>
      <c r="AC383" s="70" t="s">
        <v>2274</v>
      </c>
      <c r="AD383" s="70" t="s">
        <v>2274</v>
      </c>
      <c r="AE383" s="70" t="s">
        <v>2274</v>
      </c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</row>
    <row r="384" spans="1:44" s="73" customFormat="1" ht="15" hidden="1" thickBot="1" x14ac:dyDescent="0.35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2322</v>
      </c>
      <c r="J384" s="141">
        <f t="shared" si="18"/>
        <v>19</v>
      </c>
      <c r="K384" s="146" t="s">
        <v>2323</v>
      </c>
      <c r="L384" s="141">
        <f t="shared" si="19"/>
        <v>9</v>
      </c>
      <c r="M384" s="142">
        <f t="shared" si="20"/>
        <v>0.6785714285714286</v>
      </c>
      <c r="N384" s="70" t="s">
        <v>2274</v>
      </c>
      <c r="O384" s="70" t="s">
        <v>2274</v>
      </c>
      <c r="P384" s="70" t="s">
        <v>2274</v>
      </c>
      <c r="Q384" s="70" t="s">
        <v>2274</v>
      </c>
      <c r="R384" s="70" t="s">
        <v>2274</v>
      </c>
      <c r="S384" s="70" t="s">
        <v>2274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2274</v>
      </c>
      <c r="AD384" s="70" t="s">
        <v>2274</v>
      </c>
      <c r="AE384" s="70" t="s">
        <v>2274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</row>
    <row r="385" spans="1:44" s="73" customFormat="1" ht="15" thickBot="1" x14ac:dyDescent="0.35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" thickBot="1" x14ac:dyDescent="0.35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2322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" thickBot="1" x14ac:dyDescent="0.35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2322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" thickBot="1" x14ac:dyDescent="0.35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2322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" thickBot="1" x14ac:dyDescent="0.35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2322</v>
      </c>
      <c r="J389" s="31">
        <f t="shared" ref="J389:J470" si="21">COUNTIF(N389:AO389,"")</f>
        <v>13</v>
      </c>
      <c r="K389" s="146" t="s">
        <v>1964</v>
      </c>
      <c r="L389" s="31">
        <f t="shared" ref="L389:L470" si="22">COUNTIF(N389:AO389,"APAGADO")</f>
        <v>15</v>
      </c>
      <c r="M389" s="32">
        <f t="shared" ref="M389:M470" si="23">(J389)/(L389+J389)</f>
        <v>0.4642857142857143</v>
      </c>
      <c r="N389" s="70" t="s">
        <v>2274</v>
      </c>
      <c r="O389" s="70" t="s">
        <v>2274</v>
      </c>
      <c r="P389" s="70" t="s">
        <v>2274</v>
      </c>
      <c r="Q389" s="70" t="s">
        <v>2274</v>
      </c>
      <c r="R389" s="70" t="s">
        <v>2274</v>
      </c>
      <c r="S389" s="70" t="s">
        <v>2274</v>
      </c>
      <c r="T389" s="70" t="s">
        <v>2274</v>
      </c>
      <c r="U389" s="70"/>
      <c r="V389" s="70" t="s">
        <v>2274</v>
      </c>
      <c r="W389" s="70" t="s">
        <v>2274</v>
      </c>
      <c r="X389" s="70" t="s">
        <v>2274</v>
      </c>
      <c r="Y389" s="70" t="s">
        <v>2274</v>
      </c>
      <c r="Z389" s="70" t="s">
        <v>2274</v>
      </c>
      <c r="AA389" s="70"/>
      <c r="AB389" s="70"/>
      <c r="AC389" s="70" t="s">
        <v>2274</v>
      </c>
      <c r="AD389" s="70" t="s">
        <v>2274</v>
      </c>
      <c r="AE389" s="70" t="s">
        <v>2274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</row>
    <row r="390" spans="1:44" ht="15" thickBot="1" x14ac:dyDescent="0.35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2322</v>
      </c>
      <c r="J390" s="31">
        <f t="shared" si="21"/>
        <v>13</v>
      </c>
      <c r="K390" s="146" t="s">
        <v>1965</v>
      </c>
      <c r="L390" s="31">
        <f t="shared" si="22"/>
        <v>15</v>
      </c>
      <c r="M390" s="32">
        <f t="shared" si="23"/>
        <v>0.4642857142857143</v>
      </c>
      <c r="N390" s="70" t="s">
        <v>2274</v>
      </c>
      <c r="O390" s="70" t="s">
        <v>2274</v>
      </c>
      <c r="P390" s="70" t="s">
        <v>2274</v>
      </c>
      <c r="Q390" s="70" t="s">
        <v>2274</v>
      </c>
      <c r="R390" s="70" t="s">
        <v>2274</v>
      </c>
      <c r="S390" s="70" t="s">
        <v>2274</v>
      </c>
      <c r="T390" s="70" t="s">
        <v>2274</v>
      </c>
      <c r="U390" s="70"/>
      <c r="V390" s="70" t="s">
        <v>2274</v>
      </c>
      <c r="W390" s="70" t="s">
        <v>2274</v>
      </c>
      <c r="X390" s="70" t="s">
        <v>2274</v>
      </c>
      <c r="Y390" s="70" t="s">
        <v>2274</v>
      </c>
      <c r="Z390" s="70" t="s">
        <v>2274</v>
      </c>
      <c r="AA390" s="70"/>
      <c r="AB390" s="70"/>
      <c r="AC390" s="70" t="s">
        <v>2274</v>
      </c>
      <c r="AD390" s="70" t="s">
        <v>2274</v>
      </c>
      <c r="AE390" s="70" t="s">
        <v>2274</v>
      </c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</row>
    <row r="391" spans="1:44" ht="15" hidden="1" thickBot="1" x14ac:dyDescent="0.35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2322</v>
      </c>
      <c r="J391" s="31">
        <f t="shared" si="21"/>
        <v>28</v>
      </c>
      <c r="K391" s="146" t="s">
        <v>1966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" hidden="1" thickBot="1" x14ac:dyDescent="0.35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2322</v>
      </c>
      <c r="J392" s="31">
        <f t="shared" si="21"/>
        <v>28</v>
      </c>
      <c r="K392" s="146" t="s">
        <v>1967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" hidden="1" thickBot="1" x14ac:dyDescent="0.35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2322</v>
      </c>
      <c r="J393" s="31">
        <f t="shared" si="21"/>
        <v>28</v>
      </c>
      <c r="K393" s="146" t="s">
        <v>1968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" hidden="1" thickBot="1" x14ac:dyDescent="0.35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2322</v>
      </c>
      <c r="J394" s="31">
        <f t="shared" si="21"/>
        <v>28</v>
      </c>
      <c r="K394" s="146" t="s">
        <v>1969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" thickBot="1" x14ac:dyDescent="0.35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2322</v>
      </c>
      <c r="J395" s="31">
        <f t="shared" si="21"/>
        <v>13</v>
      </c>
      <c r="K395" s="146" t="s">
        <v>1970</v>
      </c>
      <c r="L395" s="31">
        <f t="shared" si="22"/>
        <v>15</v>
      </c>
      <c r="M395" s="32">
        <f t="shared" si="23"/>
        <v>0.4642857142857143</v>
      </c>
      <c r="N395" s="70" t="s">
        <v>2274</v>
      </c>
      <c r="O395" s="70" t="s">
        <v>2274</v>
      </c>
      <c r="P395" s="70" t="s">
        <v>2274</v>
      </c>
      <c r="Q395" s="70" t="s">
        <v>2274</v>
      </c>
      <c r="R395" s="70" t="s">
        <v>2274</v>
      </c>
      <c r="S395" s="70" t="s">
        <v>2274</v>
      </c>
      <c r="T395" s="70" t="s">
        <v>2274</v>
      </c>
      <c r="U395" s="70"/>
      <c r="V395" s="70" t="s">
        <v>2274</v>
      </c>
      <c r="W395" s="70" t="s">
        <v>2274</v>
      </c>
      <c r="X395" s="70" t="s">
        <v>2274</v>
      </c>
      <c r="Y395" s="70" t="s">
        <v>2274</v>
      </c>
      <c r="Z395" s="70" t="s">
        <v>2274</v>
      </c>
      <c r="AA395" s="70"/>
      <c r="AB395" s="70"/>
      <c r="AC395" s="70" t="s">
        <v>2274</v>
      </c>
      <c r="AD395" s="70" t="s">
        <v>2274</v>
      </c>
      <c r="AE395" s="70" t="s">
        <v>2274</v>
      </c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</row>
    <row r="396" spans="1:44" ht="15" hidden="1" thickBot="1" x14ac:dyDescent="0.35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2322</v>
      </c>
      <c r="J396" s="31">
        <f t="shared" si="21"/>
        <v>13</v>
      </c>
      <c r="K396" s="146" t="s">
        <v>1971</v>
      </c>
      <c r="L396" s="31">
        <f t="shared" si="22"/>
        <v>15</v>
      </c>
      <c r="M396" s="32">
        <f t="shared" si="23"/>
        <v>0.4642857142857143</v>
      </c>
      <c r="N396" s="70" t="s">
        <v>2274</v>
      </c>
      <c r="O396" s="70" t="s">
        <v>2274</v>
      </c>
      <c r="P396" s="70" t="s">
        <v>2274</v>
      </c>
      <c r="Q396" s="70" t="s">
        <v>2274</v>
      </c>
      <c r="R396" s="70" t="s">
        <v>2274</v>
      </c>
      <c r="S396" s="70" t="s">
        <v>2274</v>
      </c>
      <c r="T396" s="70" t="s">
        <v>2274</v>
      </c>
      <c r="U396" s="70"/>
      <c r="V396" s="70" t="s">
        <v>2274</v>
      </c>
      <c r="W396" s="70" t="s">
        <v>2274</v>
      </c>
      <c r="X396" s="70" t="s">
        <v>2274</v>
      </c>
      <c r="Y396" s="70" t="s">
        <v>2274</v>
      </c>
      <c r="Z396" s="70" t="s">
        <v>2274</v>
      </c>
      <c r="AA396" s="70"/>
      <c r="AB396" s="70"/>
      <c r="AC396" s="70" t="s">
        <v>2274</v>
      </c>
      <c r="AD396" s="70" t="s">
        <v>2274</v>
      </c>
      <c r="AE396" s="70" t="s">
        <v>2274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</row>
    <row r="397" spans="1:44" ht="15" thickBot="1" x14ac:dyDescent="0.35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2322</v>
      </c>
      <c r="J397" s="31">
        <f t="shared" si="21"/>
        <v>13</v>
      </c>
      <c r="K397" s="146" t="s">
        <v>1972</v>
      </c>
      <c r="L397" s="31">
        <f t="shared" si="22"/>
        <v>15</v>
      </c>
      <c r="M397" s="32">
        <f t="shared" si="23"/>
        <v>0.4642857142857143</v>
      </c>
      <c r="N397" s="70" t="s">
        <v>2274</v>
      </c>
      <c r="O397" s="70" t="s">
        <v>2274</v>
      </c>
      <c r="P397" s="70" t="s">
        <v>2274</v>
      </c>
      <c r="Q397" s="70" t="s">
        <v>2274</v>
      </c>
      <c r="R397" s="70" t="s">
        <v>2274</v>
      </c>
      <c r="S397" s="70" t="s">
        <v>2274</v>
      </c>
      <c r="T397" s="70" t="s">
        <v>2274</v>
      </c>
      <c r="U397" s="70"/>
      <c r="V397" s="70" t="s">
        <v>2274</v>
      </c>
      <c r="W397" s="70" t="s">
        <v>2274</v>
      </c>
      <c r="X397" s="70" t="s">
        <v>2274</v>
      </c>
      <c r="Y397" s="70" t="s">
        <v>2274</v>
      </c>
      <c r="Z397" s="70" t="s">
        <v>2274</v>
      </c>
      <c r="AA397" s="70"/>
      <c r="AB397" s="70"/>
      <c r="AC397" s="70" t="s">
        <v>2274</v>
      </c>
      <c r="AD397" s="70" t="s">
        <v>2274</v>
      </c>
      <c r="AE397" s="70" t="s">
        <v>2274</v>
      </c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</row>
    <row r="398" spans="1:44" s="73" customFormat="1" ht="15" hidden="1" thickBot="1" x14ac:dyDescent="0.35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" hidden="1" thickBot="1" x14ac:dyDescent="0.35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" hidden="1" thickBot="1" x14ac:dyDescent="0.35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" hidden="1" thickBot="1" x14ac:dyDescent="0.35">
      <c r="A401" t="s">
        <v>401</v>
      </c>
      <c r="B401" t="s">
        <v>1622</v>
      </c>
      <c r="C401" t="s">
        <v>1057</v>
      </c>
      <c r="D401" t="s">
        <v>2312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2274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" thickBot="1" x14ac:dyDescent="0.35">
      <c r="A402" t="s">
        <v>401</v>
      </c>
      <c r="B402" t="s">
        <v>2266</v>
      </c>
      <c r="C402" t="s">
        <v>1057</v>
      </c>
      <c r="D402" t="s">
        <v>2267</v>
      </c>
      <c r="E402" s="30" t="s">
        <v>18</v>
      </c>
      <c r="F402" s="85" t="s">
        <v>1296</v>
      </c>
      <c r="G402" s="30"/>
      <c r="H402" s="85" t="s">
        <v>2268</v>
      </c>
      <c r="I402" s="85"/>
      <c r="J402" s="31">
        <f t="shared" si="21"/>
        <v>13</v>
      </c>
      <c r="K402" s="87"/>
      <c r="L402" s="31">
        <f t="shared" si="22"/>
        <v>15</v>
      </c>
      <c r="M402" s="32">
        <f t="shared" si="23"/>
        <v>0.4642857142857143</v>
      </c>
      <c r="N402" s="70" t="s">
        <v>2274</v>
      </c>
      <c r="O402" s="70" t="s">
        <v>2274</v>
      </c>
      <c r="P402" s="70" t="s">
        <v>2274</v>
      </c>
      <c r="Q402" s="84" t="s">
        <v>2274</v>
      </c>
      <c r="R402" s="84" t="s">
        <v>2274</v>
      </c>
      <c r="S402" s="84" t="s">
        <v>2274</v>
      </c>
      <c r="T402" s="84" t="s">
        <v>2274</v>
      </c>
      <c r="U402" s="84"/>
      <c r="V402" s="84" t="s">
        <v>2274</v>
      </c>
      <c r="W402" s="84" t="s">
        <v>2274</v>
      </c>
      <c r="X402" s="84" t="s">
        <v>2274</v>
      </c>
      <c r="Y402" s="84" t="s">
        <v>2274</v>
      </c>
      <c r="Z402" s="84" t="s">
        <v>2274</v>
      </c>
      <c r="AA402" s="84"/>
      <c r="AB402" s="84"/>
      <c r="AC402" s="84" t="s">
        <v>2274</v>
      </c>
      <c r="AD402" s="84" t="s">
        <v>2274</v>
      </c>
      <c r="AE402" s="84" t="s">
        <v>2274</v>
      </c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</row>
    <row r="403" spans="1:44" ht="15" hidden="1" thickBot="1" x14ac:dyDescent="0.35">
      <c r="A403" t="s">
        <v>195</v>
      </c>
      <c r="B403" t="s">
        <v>418</v>
      </c>
      <c r="C403" t="s">
        <v>1058</v>
      </c>
      <c r="D403" t="s">
        <v>419</v>
      </c>
      <c r="E403" s="30" t="s">
        <v>14</v>
      </c>
      <c r="F403" s="30" t="s">
        <v>19</v>
      </c>
      <c r="G403" s="30"/>
      <c r="H403" s="30" t="s">
        <v>795</v>
      </c>
      <c r="I403" s="30"/>
      <c r="J403" s="31">
        <f t="shared" si="21"/>
        <v>14</v>
      </c>
      <c r="K403" s="87"/>
      <c r="L403" s="31">
        <f t="shared" si="22"/>
        <v>14</v>
      </c>
      <c r="M403" s="32">
        <f t="shared" si="23"/>
        <v>0.5</v>
      </c>
      <c r="N403" s="70" t="s">
        <v>2274</v>
      </c>
      <c r="O403" s="70" t="s">
        <v>2274</v>
      </c>
      <c r="P403" s="70" t="s">
        <v>2274</v>
      </c>
      <c r="Q403" s="70" t="s">
        <v>2274</v>
      </c>
      <c r="R403" s="70" t="s">
        <v>2274</v>
      </c>
      <c r="S403" s="70" t="s">
        <v>2274</v>
      </c>
      <c r="T403" s="70"/>
      <c r="U403" s="70"/>
      <c r="V403" s="70" t="s">
        <v>2274</v>
      </c>
      <c r="W403" s="70" t="s">
        <v>2274</v>
      </c>
      <c r="X403" s="70" t="s">
        <v>2274</v>
      </c>
      <c r="Y403" s="70" t="s">
        <v>2274</v>
      </c>
      <c r="Z403" s="70" t="s">
        <v>2274</v>
      </c>
      <c r="AA403" s="70"/>
      <c r="AB403" s="70"/>
      <c r="AC403" s="70" t="s">
        <v>2274</v>
      </c>
      <c r="AD403" s="70" t="s">
        <v>2274</v>
      </c>
      <c r="AE403" s="70" t="s">
        <v>2274</v>
      </c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</row>
    <row r="404" spans="1:44" s="73" customFormat="1" ht="15" hidden="1" thickBot="1" x14ac:dyDescent="0.35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" hidden="1" thickBot="1" x14ac:dyDescent="0.35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" hidden="1" thickBot="1" x14ac:dyDescent="0.35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" hidden="1" thickBot="1" x14ac:dyDescent="0.35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2274</v>
      </c>
      <c r="O407" s="89" t="s">
        <v>2274</v>
      </c>
      <c r="P407" s="89" t="s">
        <v>2274</v>
      </c>
      <c r="Q407" s="89" t="s">
        <v>2274</v>
      </c>
      <c r="R407" s="89" t="s">
        <v>2274</v>
      </c>
      <c r="S407" s="89" t="s">
        <v>2274</v>
      </c>
      <c r="T407" s="89"/>
      <c r="U407" s="89"/>
      <c r="V407" s="89" t="s">
        <v>2274</v>
      </c>
      <c r="W407" s="89" t="s">
        <v>2274</v>
      </c>
      <c r="X407" s="89" t="s">
        <v>2274</v>
      </c>
      <c r="Y407" s="89" t="s">
        <v>2274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" hidden="1" thickBot="1" x14ac:dyDescent="0.35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" hidden="1" thickBot="1" x14ac:dyDescent="0.35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14</v>
      </c>
      <c r="K409" s="146" t="s">
        <v>1978</v>
      </c>
      <c r="L409" s="31">
        <f t="shared" si="22"/>
        <v>14</v>
      </c>
      <c r="M409" s="32">
        <f t="shared" si="23"/>
        <v>0.5</v>
      </c>
      <c r="N409" s="70" t="s">
        <v>2274</v>
      </c>
      <c r="O409" s="70" t="s">
        <v>2274</v>
      </c>
      <c r="P409" s="70" t="s">
        <v>2274</v>
      </c>
      <c r="Q409" s="70" t="s">
        <v>2274</v>
      </c>
      <c r="R409" s="70" t="s">
        <v>2274</v>
      </c>
      <c r="S409" s="70" t="s">
        <v>2274</v>
      </c>
      <c r="T409" s="70"/>
      <c r="U409" s="70"/>
      <c r="V409" s="70" t="s">
        <v>2274</v>
      </c>
      <c r="W409" s="70" t="s">
        <v>2274</v>
      </c>
      <c r="X409" s="70" t="s">
        <v>2274</v>
      </c>
      <c r="Y409" s="70" t="s">
        <v>2274</v>
      </c>
      <c r="Z409" s="70" t="s">
        <v>2274</v>
      </c>
      <c r="AA409" s="70"/>
      <c r="AB409" s="70"/>
      <c r="AC409" s="70" t="s">
        <v>2274</v>
      </c>
      <c r="AD409" s="70" t="s">
        <v>2274</v>
      </c>
      <c r="AE409" s="70" t="s">
        <v>2274</v>
      </c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</row>
    <row r="410" spans="1:44" ht="15" hidden="1" thickBot="1" x14ac:dyDescent="0.35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14</v>
      </c>
      <c r="K410" s="146" t="s">
        <v>1979</v>
      </c>
      <c r="L410" s="31">
        <f t="shared" si="22"/>
        <v>14</v>
      </c>
      <c r="M410" s="32">
        <f t="shared" si="23"/>
        <v>0.5</v>
      </c>
      <c r="N410" s="70" t="s">
        <v>2274</v>
      </c>
      <c r="O410" s="70" t="s">
        <v>2274</v>
      </c>
      <c r="P410" s="70" t="s">
        <v>2274</v>
      </c>
      <c r="Q410" s="70" t="s">
        <v>2274</v>
      </c>
      <c r="R410" s="70" t="s">
        <v>2274</v>
      </c>
      <c r="S410" s="70" t="s">
        <v>2274</v>
      </c>
      <c r="T410" s="70"/>
      <c r="U410" s="70"/>
      <c r="V410" s="70" t="s">
        <v>2274</v>
      </c>
      <c r="W410" s="70" t="s">
        <v>2274</v>
      </c>
      <c r="X410" s="70" t="s">
        <v>2274</v>
      </c>
      <c r="Y410" s="70" t="s">
        <v>2274</v>
      </c>
      <c r="Z410" s="70" t="s">
        <v>2274</v>
      </c>
      <c r="AA410" s="70"/>
      <c r="AB410" s="70"/>
      <c r="AC410" s="70" t="s">
        <v>2274</v>
      </c>
      <c r="AD410" s="70" t="s">
        <v>2274</v>
      </c>
      <c r="AE410" s="70" t="s">
        <v>2274</v>
      </c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</row>
    <row r="411" spans="1:44" s="73" customFormat="1" ht="15" hidden="1" thickBot="1" x14ac:dyDescent="0.35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20</v>
      </c>
      <c r="K411" s="146" t="s">
        <v>1980</v>
      </c>
      <c r="L411" s="141">
        <f t="shared" si="22"/>
        <v>8</v>
      </c>
      <c r="M411" s="142">
        <f t="shared" si="23"/>
        <v>0.7142857142857143</v>
      </c>
      <c r="N411" s="70" t="s">
        <v>2274</v>
      </c>
      <c r="O411" s="70" t="s">
        <v>2274</v>
      </c>
      <c r="P411" s="70" t="s">
        <v>2274</v>
      </c>
      <c r="Q411" s="70" t="s">
        <v>2274</v>
      </c>
      <c r="R411" s="70" t="s">
        <v>2274</v>
      </c>
      <c r="S411" s="70" t="s">
        <v>2274</v>
      </c>
      <c r="T411" s="70"/>
      <c r="U411" s="70"/>
      <c r="V411" s="70" t="s">
        <v>2274</v>
      </c>
      <c r="W411" s="70" t="s">
        <v>2274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</row>
    <row r="412" spans="1:44" s="73" customFormat="1" ht="17.25" hidden="1" customHeight="1" thickBot="1" x14ac:dyDescent="0.35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21</v>
      </c>
      <c r="K412" s="146" t="s">
        <v>1981</v>
      </c>
      <c r="L412" s="141">
        <f t="shared" si="22"/>
        <v>7</v>
      </c>
      <c r="M412" s="142">
        <f t="shared" si="23"/>
        <v>0.75</v>
      </c>
      <c r="N412" s="70" t="s">
        <v>2274</v>
      </c>
      <c r="O412" s="70" t="s">
        <v>2274</v>
      </c>
      <c r="P412" s="70" t="s">
        <v>2274</v>
      </c>
      <c r="Q412" s="70"/>
      <c r="R412" s="70" t="s">
        <v>2274</v>
      </c>
      <c r="S412" s="70" t="s">
        <v>2274</v>
      </c>
      <c r="T412" s="70"/>
      <c r="U412" s="70"/>
      <c r="V412" s="70" t="s">
        <v>2274</v>
      </c>
      <c r="W412" s="70" t="s">
        <v>2274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</row>
    <row r="413" spans="1:44" s="73" customFormat="1" ht="15" hidden="1" thickBot="1" x14ac:dyDescent="0.35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" hidden="1" thickBot="1" x14ac:dyDescent="0.35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" hidden="1" thickBot="1" x14ac:dyDescent="0.35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" hidden="1" thickBot="1" x14ac:dyDescent="0.35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" hidden="1" thickBot="1" x14ac:dyDescent="0.35">
      <c r="A417" s="73" t="s">
        <v>2258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" hidden="1" thickBot="1" x14ac:dyDescent="0.35">
      <c r="A418" s="73" t="s">
        <v>2258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" hidden="1" thickBot="1" x14ac:dyDescent="0.35">
      <c r="A419" s="73" t="s">
        <v>2258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" hidden="1" thickBot="1" x14ac:dyDescent="0.35">
      <c r="A420" s="73" t="s">
        <v>2258</v>
      </c>
      <c r="B420" s="73" t="s">
        <v>2254</v>
      </c>
      <c r="C420" s="73" t="s">
        <v>1058</v>
      </c>
      <c r="D420" s="73" t="s">
        <v>2255</v>
      </c>
      <c r="E420" s="91" t="s">
        <v>18</v>
      </c>
      <c r="F420" s="85" t="s">
        <v>1296</v>
      </c>
      <c r="G420" s="85"/>
      <c r="H420" s="85" t="s">
        <v>2256</v>
      </c>
      <c r="I420" s="85"/>
      <c r="J420" s="141">
        <f t="shared" si="21"/>
        <v>28</v>
      </c>
      <c r="K420" s="146" t="s">
        <v>2257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" thickBot="1" x14ac:dyDescent="0.35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" hidden="1" thickBot="1" x14ac:dyDescent="0.35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19</v>
      </c>
      <c r="K422" s="146" t="s">
        <v>1985</v>
      </c>
      <c r="L422" s="141">
        <f t="shared" si="22"/>
        <v>9</v>
      </c>
      <c r="M422" s="142">
        <f t="shared" si="23"/>
        <v>0.6785714285714286</v>
      </c>
      <c r="N422" s="70"/>
      <c r="O422" s="70"/>
      <c r="P422" s="70"/>
      <c r="Q422" s="70"/>
      <c r="R422" s="70"/>
      <c r="S422" s="70"/>
      <c r="T422" s="70" t="s">
        <v>2274</v>
      </c>
      <c r="U422" s="70"/>
      <c r="V422" s="70" t="s">
        <v>2274</v>
      </c>
      <c r="W422" s="70" t="s">
        <v>2274</v>
      </c>
      <c r="X422" s="70" t="s">
        <v>2274</v>
      </c>
      <c r="Y422" s="70" t="s">
        <v>2274</v>
      </c>
      <c r="Z422" s="70" t="s">
        <v>2274</v>
      </c>
      <c r="AA422" s="70"/>
      <c r="AB422" s="70"/>
      <c r="AC422" s="70" t="s">
        <v>2274</v>
      </c>
      <c r="AD422" s="70" t="s">
        <v>2274</v>
      </c>
      <c r="AE422" s="70" t="s">
        <v>2274</v>
      </c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</row>
    <row r="423" spans="1:44" s="90" customFormat="1" ht="15" hidden="1" thickBot="1" x14ac:dyDescent="0.35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13</v>
      </c>
      <c r="K423" s="87"/>
      <c r="L423" s="31">
        <f t="shared" si="22"/>
        <v>15</v>
      </c>
      <c r="M423" s="32">
        <f t="shared" si="23"/>
        <v>0.4642857142857143</v>
      </c>
      <c r="N423" s="70" t="s">
        <v>2274</v>
      </c>
      <c r="O423" s="70" t="s">
        <v>2274</v>
      </c>
      <c r="P423" s="70" t="s">
        <v>2274</v>
      </c>
      <c r="Q423" s="70" t="s">
        <v>2274</v>
      </c>
      <c r="R423" s="70" t="s">
        <v>2274</v>
      </c>
      <c r="S423" s="70" t="s">
        <v>2274</v>
      </c>
      <c r="T423" s="70" t="s">
        <v>2274</v>
      </c>
      <c r="U423" s="70"/>
      <c r="V423" s="70" t="s">
        <v>2274</v>
      </c>
      <c r="W423" s="70" t="s">
        <v>2274</v>
      </c>
      <c r="X423" s="70" t="s">
        <v>2274</v>
      </c>
      <c r="Y423" s="70" t="s">
        <v>2274</v>
      </c>
      <c r="Z423" s="70" t="s">
        <v>2274</v>
      </c>
      <c r="AA423" s="70"/>
      <c r="AB423" s="70"/>
      <c r="AC423" s="70" t="s">
        <v>2274</v>
      </c>
      <c r="AD423" s="70" t="s">
        <v>2274</v>
      </c>
      <c r="AE423" s="70" t="s">
        <v>2274</v>
      </c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</row>
    <row r="424" spans="1:44" s="73" customFormat="1" ht="15" thickBot="1" x14ac:dyDescent="0.35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" thickBot="1" x14ac:dyDescent="0.35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" hidden="1" thickBot="1" x14ac:dyDescent="0.35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" hidden="1" thickBot="1" x14ac:dyDescent="0.35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" hidden="1" thickBot="1" x14ac:dyDescent="0.35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2274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95" hidden="1" customHeight="1" thickBot="1" x14ac:dyDescent="0.35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2274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95" hidden="1" customHeight="1" thickBot="1" x14ac:dyDescent="0.35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2274</v>
      </c>
      <c r="P430" s="70" t="s">
        <v>2274</v>
      </c>
      <c r="Q430" s="70" t="s">
        <v>2274</v>
      </c>
      <c r="R430" s="70" t="s">
        <v>2274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95" hidden="1" customHeight="1" thickBot="1" x14ac:dyDescent="0.35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2274</v>
      </c>
      <c r="P431" s="70" t="s">
        <v>2274</v>
      </c>
      <c r="Q431" s="70" t="s">
        <v>2274</v>
      </c>
      <c r="R431" s="70" t="s">
        <v>2274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95" hidden="1" customHeight="1" thickBot="1" x14ac:dyDescent="0.35">
      <c r="A432" t="s">
        <v>1119</v>
      </c>
      <c r="B432" s="73" t="s">
        <v>2239</v>
      </c>
      <c r="C432" s="73" t="s">
        <v>1058</v>
      </c>
      <c r="D432" s="73" t="s">
        <v>2240</v>
      </c>
      <c r="E432" s="85" t="s">
        <v>1109</v>
      </c>
      <c r="F432" s="85"/>
      <c r="G432" s="85"/>
      <c r="H432" s="85" t="s">
        <v>2241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2274</v>
      </c>
      <c r="P432" s="70" t="s">
        <v>2274</v>
      </c>
      <c r="Q432" s="70" t="s">
        <v>2274</v>
      </c>
      <c r="R432" s="70" t="s">
        <v>2274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" hidden="1" thickBot="1" x14ac:dyDescent="0.35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" hidden="1" thickBot="1" x14ac:dyDescent="0.35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" hidden="1" thickBot="1" x14ac:dyDescent="0.35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" hidden="1" thickBot="1" x14ac:dyDescent="0.35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" hidden="1" thickBot="1" x14ac:dyDescent="0.35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27</v>
      </c>
      <c r="K437" s="146" t="s">
        <v>1997</v>
      </c>
      <c r="L437" s="31">
        <f t="shared" si="22"/>
        <v>1</v>
      </c>
      <c r="M437" s="32">
        <f t="shared" si="23"/>
        <v>0.9642857142857143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2274</v>
      </c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</row>
    <row r="438" spans="1:44" ht="15" hidden="1" thickBot="1" x14ac:dyDescent="0.35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27</v>
      </c>
      <c r="K438" s="146" t="s">
        <v>1998</v>
      </c>
      <c r="L438" s="31">
        <f t="shared" si="22"/>
        <v>1</v>
      </c>
      <c r="M438" s="32">
        <f t="shared" si="23"/>
        <v>0.9642857142857143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</row>
    <row r="439" spans="1:44" s="73" customFormat="1" ht="15" hidden="1" thickBot="1" x14ac:dyDescent="0.35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" hidden="1" thickBot="1" x14ac:dyDescent="0.35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27</v>
      </c>
      <c r="K440" s="146" t="s">
        <v>2000</v>
      </c>
      <c r="L440" s="141">
        <f t="shared" si="22"/>
        <v>1</v>
      </c>
      <c r="M440" s="142">
        <f t="shared" si="23"/>
        <v>0.9642857142857143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2274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</row>
    <row r="441" spans="1:44" ht="15" hidden="1" thickBot="1" x14ac:dyDescent="0.35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" hidden="1" thickBot="1" x14ac:dyDescent="0.35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" hidden="1" thickBot="1" x14ac:dyDescent="0.35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" hidden="1" thickBot="1" x14ac:dyDescent="0.35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" hidden="1" thickBot="1" x14ac:dyDescent="0.35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" hidden="1" thickBot="1" x14ac:dyDescent="0.35">
      <c r="A446" t="s">
        <v>454</v>
      </c>
      <c r="B446" t="s">
        <v>1025</v>
      </c>
      <c r="C446" t="s">
        <v>1058</v>
      </c>
      <c r="D446" t="s">
        <v>461</v>
      </c>
      <c r="E446" s="30" t="s">
        <v>14</v>
      </c>
      <c r="F446" s="30" t="s">
        <v>19</v>
      </c>
      <c r="G446" s="30"/>
      <c r="H446" s="30" t="s">
        <v>815</v>
      </c>
      <c r="I446" s="30"/>
      <c r="J446" s="31">
        <f t="shared" si="21"/>
        <v>14</v>
      </c>
      <c r="K446" s="87"/>
      <c r="L446" s="31">
        <f t="shared" si="22"/>
        <v>14</v>
      </c>
      <c r="M446" s="32">
        <f t="shared" si="23"/>
        <v>0.5</v>
      </c>
      <c r="N446" s="70"/>
      <c r="O446" s="70" t="s">
        <v>2274</v>
      </c>
      <c r="P446" s="70" t="s">
        <v>2274</v>
      </c>
      <c r="Q446" s="70" t="s">
        <v>2274</v>
      </c>
      <c r="R446" s="70" t="s">
        <v>2274</v>
      </c>
      <c r="S446" s="70" t="s">
        <v>2274</v>
      </c>
      <c r="T446" s="70" t="s">
        <v>2274</v>
      </c>
      <c r="U446" s="70"/>
      <c r="V446" s="70" t="s">
        <v>2274</v>
      </c>
      <c r="W446" s="70" t="s">
        <v>2274</v>
      </c>
      <c r="X446" s="70" t="s">
        <v>2274</v>
      </c>
      <c r="Y446" s="70" t="s">
        <v>2274</v>
      </c>
      <c r="Z446" s="70" t="s">
        <v>2274</v>
      </c>
      <c r="AA446" s="70"/>
      <c r="AB446" s="70"/>
      <c r="AC446" s="70" t="s">
        <v>2274</v>
      </c>
      <c r="AD446" s="70" t="s">
        <v>2274</v>
      </c>
      <c r="AE446" s="70" t="s">
        <v>2274</v>
      </c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</row>
    <row r="447" spans="1:44" ht="15" hidden="1" thickBot="1" x14ac:dyDescent="0.35">
      <c r="A447" t="s">
        <v>454</v>
      </c>
      <c r="B447" t="s">
        <v>1015</v>
      </c>
      <c r="C447" t="s">
        <v>1058</v>
      </c>
      <c r="D447" t="s">
        <v>468</v>
      </c>
      <c r="E447" s="30" t="s">
        <v>14</v>
      </c>
      <c r="F447" s="30" t="s">
        <v>19</v>
      </c>
      <c r="G447" s="30"/>
      <c r="H447" s="30" t="s">
        <v>809</v>
      </c>
      <c r="I447" s="30"/>
      <c r="J447" s="31">
        <f t="shared" si="21"/>
        <v>15</v>
      </c>
      <c r="K447" s="87"/>
      <c r="L447" s="31">
        <f t="shared" si="22"/>
        <v>13</v>
      </c>
      <c r="M447" s="32">
        <f t="shared" si="23"/>
        <v>0.5357142857142857</v>
      </c>
      <c r="N447" s="70"/>
      <c r="O447" s="70" t="s">
        <v>2274</v>
      </c>
      <c r="P447" s="70" t="s">
        <v>2274</v>
      </c>
      <c r="Q447" s="70" t="s">
        <v>2274</v>
      </c>
      <c r="R447" s="70" t="s">
        <v>2274</v>
      </c>
      <c r="S447" s="70" t="s">
        <v>2274</v>
      </c>
      <c r="T447" s="70" t="s">
        <v>2274</v>
      </c>
      <c r="U447" s="70"/>
      <c r="V447" s="70" t="s">
        <v>2274</v>
      </c>
      <c r="W447" s="70" t="s">
        <v>2274</v>
      </c>
      <c r="X447" s="70" t="s">
        <v>2274</v>
      </c>
      <c r="Y447" s="70"/>
      <c r="Z447" s="70" t="s">
        <v>2274</v>
      </c>
      <c r="AA447" s="70"/>
      <c r="AB447" s="70"/>
      <c r="AC447" s="70" t="s">
        <v>2274</v>
      </c>
      <c r="AD447" s="70" t="s">
        <v>2274</v>
      </c>
      <c r="AE447" s="70" t="s">
        <v>2274</v>
      </c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</row>
    <row r="448" spans="1:44" ht="15" hidden="1" thickBot="1" x14ac:dyDescent="0.35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" hidden="1" thickBot="1" x14ac:dyDescent="0.35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27</v>
      </c>
      <c r="K449" s="146" t="s">
        <v>2004</v>
      </c>
      <c r="L449" s="31">
        <f t="shared" si="22"/>
        <v>1</v>
      </c>
      <c r="M449" s="32">
        <f t="shared" si="23"/>
        <v>0.9642857142857143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2274</v>
      </c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</row>
    <row r="450" spans="1:44" ht="15" hidden="1" thickBot="1" x14ac:dyDescent="0.35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13</v>
      </c>
      <c r="K450" s="146" t="s">
        <v>2005</v>
      </c>
      <c r="L450" s="31">
        <f t="shared" si="22"/>
        <v>15</v>
      </c>
      <c r="M450" s="32">
        <f t="shared" si="23"/>
        <v>0.4642857142857143</v>
      </c>
      <c r="N450" s="70" t="s">
        <v>2274</v>
      </c>
      <c r="O450" s="70" t="s">
        <v>2274</v>
      </c>
      <c r="P450" s="70" t="s">
        <v>2274</v>
      </c>
      <c r="Q450" s="70" t="s">
        <v>2274</v>
      </c>
      <c r="R450" s="70" t="s">
        <v>2274</v>
      </c>
      <c r="S450" s="70" t="s">
        <v>2274</v>
      </c>
      <c r="T450" s="70" t="s">
        <v>2274</v>
      </c>
      <c r="U450" s="70"/>
      <c r="V450" s="70" t="s">
        <v>2274</v>
      </c>
      <c r="W450" s="70" t="s">
        <v>2274</v>
      </c>
      <c r="X450" s="70" t="s">
        <v>2274</v>
      </c>
      <c r="Y450" s="70" t="s">
        <v>2274</v>
      </c>
      <c r="Z450" s="70" t="s">
        <v>2274</v>
      </c>
      <c r="AA450" s="70"/>
      <c r="AB450" s="70"/>
      <c r="AC450" s="70" t="s">
        <v>2274</v>
      </c>
      <c r="AD450" s="70" t="s">
        <v>2274</v>
      </c>
      <c r="AE450" s="70" t="s">
        <v>2274</v>
      </c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</row>
    <row r="451" spans="1:44" s="73" customFormat="1" ht="15" hidden="1" thickBot="1" x14ac:dyDescent="0.35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" hidden="1" thickBot="1" x14ac:dyDescent="0.35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2274</v>
      </c>
      <c r="U452" s="70"/>
      <c r="V452" s="70" t="s">
        <v>2274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" hidden="1" thickBot="1" x14ac:dyDescent="0.35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2274</v>
      </c>
      <c r="U453" s="70"/>
      <c r="V453" s="70" t="s">
        <v>2274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" hidden="1" thickBot="1" x14ac:dyDescent="0.35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27</v>
      </c>
      <c r="K454" s="146" t="s">
        <v>2009</v>
      </c>
      <c r="L454" s="31">
        <f t="shared" si="22"/>
        <v>1</v>
      </c>
      <c r="M454" s="32">
        <f t="shared" si="23"/>
        <v>0.9642857142857143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2274</v>
      </c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</row>
    <row r="455" spans="1:44" ht="15" hidden="1" thickBot="1" x14ac:dyDescent="0.35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28</v>
      </c>
      <c r="K455" s="146" t="s">
        <v>2010</v>
      </c>
      <c r="L455" s="31">
        <f t="shared" si="22"/>
        <v>0</v>
      </c>
      <c r="M455" s="32">
        <f t="shared" si="23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</row>
    <row r="456" spans="1:44" ht="15" hidden="1" thickBot="1" x14ac:dyDescent="0.35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" hidden="1" thickBot="1" x14ac:dyDescent="0.35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" hidden="1" thickBot="1" x14ac:dyDescent="0.35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" hidden="1" thickBot="1" x14ac:dyDescent="0.35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" hidden="1" thickBot="1" x14ac:dyDescent="0.35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" hidden="1" thickBot="1" x14ac:dyDescent="0.35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" hidden="1" thickBot="1" x14ac:dyDescent="0.35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" hidden="1" thickBot="1" x14ac:dyDescent="0.35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" hidden="1" thickBot="1" x14ac:dyDescent="0.35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13</v>
      </c>
      <c r="K464" s="146" t="s">
        <v>2013</v>
      </c>
      <c r="L464" s="141">
        <f t="shared" si="22"/>
        <v>15</v>
      </c>
      <c r="M464" s="142">
        <f t="shared" si="23"/>
        <v>0.4642857142857143</v>
      </c>
      <c r="N464" s="70" t="s">
        <v>2274</v>
      </c>
      <c r="O464" s="70" t="s">
        <v>2274</v>
      </c>
      <c r="P464" s="70" t="s">
        <v>2274</v>
      </c>
      <c r="Q464" s="70" t="s">
        <v>2274</v>
      </c>
      <c r="R464" s="70" t="s">
        <v>2274</v>
      </c>
      <c r="S464" s="70" t="s">
        <v>2274</v>
      </c>
      <c r="T464" s="70" t="s">
        <v>2274</v>
      </c>
      <c r="U464" s="70"/>
      <c r="V464" s="70" t="s">
        <v>2274</v>
      </c>
      <c r="W464" s="70" t="s">
        <v>2274</v>
      </c>
      <c r="X464" s="70" t="s">
        <v>2274</v>
      </c>
      <c r="Y464" s="70" t="s">
        <v>2274</v>
      </c>
      <c r="Z464" s="70" t="s">
        <v>2274</v>
      </c>
      <c r="AA464" s="70"/>
      <c r="AB464" s="70"/>
      <c r="AC464" s="70" t="s">
        <v>2274</v>
      </c>
      <c r="AD464" s="70" t="s">
        <v>2274</v>
      </c>
      <c r="AE464" s="70" t="s">
        <v>2274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</row>
    <row r="465" spans="1:44" s="73" customFormat="1" ht="15" hidden="1" thickBot="1" x14ac:dyDescent="0.35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13</v>
      </c>
      <c r="K465" s="146" t="s">
        <v>2014</v>
      </c>
      <c r="L465" s="141">
        <f t="shared" si="22"/>
        <v>15</v>
      </c>
      <c r="M465" s="142">
        <f t="shared" si="23"/>
        <v>0.4642857142857143</v>
      </c>
      <c r="N465" s="70" t="s">
        <v>2274</v>
      </c>
      <c r="O465" s="70" t="s">
        <v>2274</v>
      </c>
      <c r="P465" s="70" t="s">
        <v>2274</v>
      </c>
      <c r="Q465" s="70" t="s">
        <v>2274</v>
      </c>
      <c r="R465" s="70" t="s">
        <v>2274</v>
      </c>
      <c r="S465" s="70" t="s">
        <v>2274</v>
      </c>
      <c r="T465" s="70" t="s">
        <v>2274</v>
      </c>
      <c r="U465" s="70"/>
      <c r="V465" s="70" t="s">
        <v>2274</v>
      </c>
      <c r="W465" s="70" t="s">
        <v>2274</v>
      </c>
      <c r="X465" s="70" t="s">
        <v>2274</v>
      </c>
      <c r="Y465" s="70" t="s">
        <v>2274</v>
      </c>
      <c r="Z465" s="70" t="s">
        <v>2274</v>
      </c>
      <c r="AA465" s="70"/>
      <c r="AB465" s="70"/>
      <c r="AC465" s="70" t="s">
        <v>2274</v>
      </c>
      <c r="AD465" s="70" t="s">
        <v>2274</v>
      </c>
      <c r="AE465" s="70" t="s">
        <v>2274</v>
      </c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</row>
    <row r="466" spans="1:44" s="73" customFormat="1" ht="15" hidden="1" thickBot="1" x14ac:dyDescent="0.35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15</v>
      </c>
      <c r="K466" s="87"/>
      <c r="L466" s="141">
        <f t="shared" si="22"/>
        <v>13</v>
      </c>
      <c r="M466" s="142">
        <f t="shared" si="23"/>
        <v>0.5357142857142857</v>
      </c>
      <c r="N466" s="70" t="s">
        <v>2274</v>
      </c>
      <c r="O466" s="70" t="s">
        <v>2274</v>
      </c>
      <c r="P466" s="70" t="s">
        <v>2274</v>
      </c>
      <c r="Q466" s="70"/>
      <c r="R466" s="70"/>
      <c r="S466" s="70" t="s">
        <v>2274</v>
      </c>
      <c r="T466" s="70" t="s">
        <v>2274</v>
      </c>
      <c r="U466" s="70"/>
      <c r="V466" s="70" t="s">
        <v>2274</v>
      </c>
      <c r="W466" s="70" t="s">
        <v>2274</v>
      </c>
      <c r="X466" s="70" t="s">
        <v>2274</v>
      </c>
      <c r="Y466" s="70" t="s">
        <v>2274</v>
      </c>
      <c r="Z466" s="70" t="s">
        <v>2274</v>
      </c>
      <c r="AA466" s="70"/>
      <c r="AB466" s="70"/>
      <c r="AC466" s="70" t="s">
        <v>2274</v>
      </c>
      <c r="AD466" s="70" t="s">
        <v>2274</v>
      </c>
      <c r="AE466" s="70" t="s">
        <v>2274</v>
      </c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</row>
    <row r="467" spans="1:44" s="73" customFormat="1" ht="15" hidden="1" thickBot="1" x14ac:dyDescent="0.35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18</v>
      </c>
      <c r="K467" s="151" t="s">
        <v>2132</v>
      </c>
      <c r="L467" s="141">
        <f t="shared" si="22"/>
        <v>10</v>
      </c>
      <c r="M467" s="142">
        <f t="shared" si="23"/>
        <v>0.6428571428571429</v>
      </c>
      <c r="N467" s="70"/>
      <c r="O467" s="70"/>
      <c r="P467" s="70"/>
      <c r="Q467" s="70"/>
      <c r="R467" s="70"/>
      <c r="S467" s="70" t="s">
        <v>2274</v>
      </c>
      <c r="T467" s="70" t="s">
        <v>2274</v>
      </c>
      <c r="U467" s="70"/>
      <c r="V467" s="70" t="s">
        <v>2274</v>
      </c>
      <c r="W467" s="70" t="s">
        <v>2274</v>
      </c>
      <c r="X467" s="70" t="s">
        <v>2274</v>
      </c>
      <c r="Y467" s="70" t="s">
        <v>2274</v>
      </c>
      <c r="Z467" s="70" t="s">
        <v>2274</v>
      </c>
      <c r="AA467" s="70"/>
      <c r="AB467" s="70"/>
      <c r="AC467" s="70" t="s">
        <v>2274</v>
      </c>
      <c r="AD467" s="70" t="s">
        <v>2274</v>
      </c>
      <c r="AE467" s="70" t="s">
        <v>2274</v>
      </c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</row>
    <row r="468" spans="1:44" s="73" customFormat="1" ht="15" hidden="1" thickBot="1" x14ac:dyDescent="0.35">
      <c r="B468" s="85" t="s">
        <v>2273</v>
      </c>
      <c r="C468" t="s">
        <v>1057</v>
      </c>
      <c r="D468" s="73" t="s">
        <v>2296</v>
      </c>
      <c r="E468" s="85" t="s">
        <v>72</v>
      </c>
      <c r="F468" s="85"/>
      <c r="G468" s="85"/>
      <c r="H468" s="85"/>
      <c r="I468" s="85"/>
      <c r="J468" s="141">
        <f t="shared" si="21"/>
        <v>14</v>
      </c>
      <c r="K468" s="151"/>
      <c r="L468" s="141">
        <f t="shared" si="22"/>
        <v>14</v>
      </c>
      <c r="M468" s="142">
        <f t="shared" si="23"/>
        <v>0.5</v>
      </c>
      <c r="N468" s="70" t="s">
        <v>2274</v>
      </c>
      <c r="O468" s="70" t="s">
        <v>2274</v>
      </c>
      <c r="P468" s="70" t="s">
        <v>2274</v>
      </c>
      <c r="Q468" s="70" t="s">
        <v>2274</v>
      </c>
      <c r="R468" s="70" t="s">
        <v>2274</v>
      </c>
      <c r="S468" s="70" t="s">
        <v>2274</v>
      </c>
      <c r="T468" s="70" t="s">
        <v>2274</v>
      </c>
      <c r="U468" s="70"/>
      <c r="V468" s="70" t="s">
        <v>2274</v>
      </c>
      <c r="W468" s="70" t="s">
        <v>2274</v>
      </c>
      <c r="X468" s="70" t="s">
        <v>2274</v>
      </c>
      <c r="Y468" s="70" t="s">
        <v>2274</v>
      </c>
      <c r="Z468" s="70" t="s">
        <v>2274</v>
      </c>
      <c r="AA468" s="70"/>
      <c r="AB468" s="70"/>
      <c r="AC468" s="70" t="s">
        <v>2274</v>
      </c>
      <c r="AD468" s="70" t="s">
        <v>2274</v>
      </c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</row>
    <row r="469" spans="1:44" ht="15" hidden="1" thickBot="1" x14ac:dyDescent="0.35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28</v>
      </c>
      <c r="K469" s="146" t="s">
        <v>2015</v>
      </c>
      <c r="L469" s="31">
        <f t="shared" si="22"/>
        <v>0</v>
      </c>
      <c r="M469" s="32">
        <f t="shared" si="23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</row>
    <row r="470" spans="1:44" ht="15" hidden="1" thickBot="1" x14ac:dyDescent="0.35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18</v>
      </c>
      <c r="K470" s="146" t="s">
        <v>2016</v>
      </c>
      <c r="L470" s="31">
        <f t="shared" si="22"/>
        <v>10</v>
      </c>
      <c r="M470" s="32">
        <f t="shared" si="23"/>
        <v>0.6428571428571429</v>
      </c>
      <c r="N470" s="70" t="s">
        <v>2274</v>
      </c>
      <c r="O470" s="70" t="s">
        <v>2274</v>
      </c>
      <c r="P470" s="70" t="s">
        <v>2274</v>
      </c>
      <c r="Q470" s="70" t="s">
        <v>2274</v>
      </c>
      <c r="R470" s="70" t="s">
        <v>2274</v>
      </c>
      <c r="S470" s="70" t="s">
        <v>2274</v>
      </c>
      <c r="T470" s="70" t="s">
        <v>2274</v>
      </c>
      <c r="U470" s="70"/>
      <c r="V470" s="70" t="s">
        <v>2274</v>
      </c>
      <c r="W470" s="70" t="s">
        <v>2274</v>
      </c>
      <c r="X470" s="70"/>
      <c r="Y470" s="70"/>
      <c r="Z470" s="70"/>
      <c r="AA470" s="70"/>
      <c r="AB470" s="70"/>
      <c r="AC470" s="70"/>
      <c r="AD470" s="70"/>
      <c r="AE470" s="70" t="s">
        <v>2274</v>
      </c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</row>
    <row r="471" spans="1:44" ht="15" hidden="1" thickBot="1" x14ac:dyDescent="0.35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" hidden="1" thickBot="1" x14ac:dyDescent="0.35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" hidden="1" thickBot="1" x14ac:dyDescent="0.35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" hidden="1" thickBot="1" x14ac:dyDescent="0.35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" hidden="1" thickBot="1" x14ac:dyDescent="0.35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" hidden="1" thickBot="1" x14ac:dyDescent="0.35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" hidden="1" thickBot="1" x14ac:dyDescent="0.35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" hidden="1" thickBot="1" x14ac:dyDescent="0.35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" hidden="1" thickBot="1" x14ac:dyDescent="0.35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" hidden="1" thickBot="1" x14ac:dyDescent="0.35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" hidden="1" thickBot="1" x14ac:dyDescent="0.35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" hidden="1" thickBot="1" x14ac:dyDescent="0.35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" hidden="1" thickBot="1" x14ac:dyDescent="0.35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" hidden="1" thickBot="1" x14ac:dyDescent="0.35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" hidden="1" thickBot="1" x14ac:dyDescent="0.35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16</v>
      </c>
      <c r="K485" s="87" t="s">
        <v>2153</v>
      </c>
      <c r="L485" s="87">
        <f t="shared" si="25"/>
        <v>12</v>
      </c>
      <c r="M485" s="88">
        <f t="shared" si="26"/>
        <v>0.5714285714285714</v>
      </c>
      <c r="N485" s="89" t="s">
        <v>2274</v>
      </c>
      <c r="O485" s="89" t="s">
        <v>2274</v>
      </c>
      <c r="P485" s="89" t="s">
        <v>2274</v>
      </c>
      <c r="Q485" s="89"/>
      <c r="R485" s="89"/>
      <c r="S485" s="89" t="s">
        <v>2274</v>
      </c>
      <c r="T485" s="89" t="s">
        <v>2274</v>
      </c>
      <c r="U485" s="89"/>
      <c r="V485" s="89" t="s">
        <v>2274</v>
      </c>
      <c r="W485" s="89" t="s">
        <v>2274</v>
      </c>
      <c r="X485" s="89" t="s">
        <v>2274</v>
      </c>
      <c r="Y485" s="89" t="s">
        <v>2274</v>
      </c>
      <c r="Z485" s="89" t="s">
        <v>2274</v>
      </c>
      <c r="AA485" s="89"/>
      <c r="AB485" s="89"/>
      <c r="AC485" s="89" t="s">
        <v>2274</v>
      </c>
      <c r="AD485" s="89" t="s">
        <v>2274</v>
      </c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  <c r="AR485" s="70"/>
    </row>
    <row r="486" spans="1:44" s="73" customFormat="1" ht="15" hidden="1" thickBot="1" x14ac:dyDescent="0.35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" hidden="1" thickBot="1" x14ac:dyDescent="0.35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" hidden="1" thickBot="1" x14ac:dyDescent="0.35">
      <c r="A488" s="73" t="s">
        <v>478</v>
      </c>
      <c r="B488" s="73" t="s">
        <v>2285</v>
      </c>
      <c r="C488" s="73" t="s">
        <v>1057</v>
      </c>
      <c r="D488" s="145" t="s">
        <v>2286</v>
      </c>
      <c r="E488" s="30" t="s">
        <v>14</v>
      </c>
      <c r="F488" s="73" t="s">
        <v>1296</v>
      </c>
      <c r="H488" s="85" t="s">
        <v>2310</v>
      </c>
      <c r="I488" s="85"/>
      <c r="J488" s="87">
        <f t="shared" si="24"/>
        <v>28</v>
      </c>
      <c r="K488" s="151" t="s">
        <v>2311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" hidden="1" thickBot="1" x14ac:dyDescent="0.35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" hidden="1" thickBot="1" x14ac:dyDescent="0.35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" hidden="1" thickBot="1" x14ac:dyDescent="0.35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2274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" hidden="1" thickBot="1" x14ac:dyDescent="0.35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27</v>
      </c>
      <c r="K492" s="87"/>
      <c r="L492" s="31">
        <f t="shared" si="25"/>
        <v>1</v>
      </c>
      <c r="M492" s="32">
        <f t="shared" si="26"/>
        <v>0.9642857142857143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2274</v>
      </c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" hidden="1" thickBot="1" x14ac:dyDescent="0.35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" hidden="1" thickBot="1" x14ac:dyDescent="0.35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" hidden="1" thickBot="1" x14ac:dyDescent="0.35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27</v>
      </c>
      <c r="K495" s="146" t="s">
        <v>2031</v>
      </c>
      <c r="L495" s="31">
        <f t="shared" si="25"/>
        <v>1</v>
      </c>
      <c r="M495" s="32">
        <f t="shared" si="26"/>
        <v>0.9642857142857143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2274</v>
      </c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" hidden="1" thickBot="1" x14ac:dyDescent="0.35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" hidden="1" thickBot="1" x14ac:dyDescent="0.35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" hidden="1" thickBot="1" x14ac:dyDescent="0.35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" hidden="1" thickBot="1" x14ac:dyDescent="0.35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" hidden="1" thickBot="1" x14ac:dyDescent="0.35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2274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" hidden="1" thickBot="1" x14ac:dyDescent="0.35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" hidden="1" thickBot="1" x14ac:dyDescent="0.35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" thickBot="1" x14ac:dyDescent="0.35">
      <c r="A503" t="s">
        <v>517</v>
      </c>
      <c r="B503" t="s">
        <v>525</v>
      </c>
      <c r="C503" t="s">
        <v>1058</v>
      </c>
      <c r="D503" t="s">
        <v>2242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" hidden="1" thickBot="1" x14ac:dyDescent="0.35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" hidden="1" thickBot="1" x14ac:dyDescent="0.35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" hidden="1" thickBot="1" x14ac:dyDescent="0.35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" hidden="1" thickBot="1" x14ac:dyDescent="0.35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" hidden="1" thickBot="1" x14ac:dyDescent="0.35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" hidden="1" thickBot="1" x14ac:dyDescent="0.35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2274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" hidden="1" thickBot="1" x14ac:dyDescent="0.35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" thickBot="1" x14ac:dyDescent="0.35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" hidden="1" thickBot="1" x14ac:dyDescent="0.35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" thickBot="1" x14ac:dyDescent="0.35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" hidden="1" thickBot="1" x14ac:dyDescent="0.35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2274</v>
      </c>
      <c r="O514" s="70" t="s">
        <v>2274</v>
      </c>
      <c r="P514" s="70"/>
      <c r="Q514" s="70"/>
      <c r="R514" s="70" t="s">
        <v>2274</v>
      </c>
      <c r="S514" s="70" t="s">
        <v>2274</v>
      </c>
      <c r="T514" s="70" t="s">
        <v>2274</v>
      </c>
      <c r="U514" s="70"/>
      <c r="V514" s="70" t="s">
        <v>2274</v>
      </c>
      <c r="W514" s="70" t="s">
        <v>2274</v>
      </c>
      <c r="X514" s="70" t="s">
        <v>2274</v>
      </c>
      <c r="Y514" s="70" t="s">
        <v>2274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" hidden="1" thickBot="1" x14ac:dyDescent="0.35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2274</v>
      </c>
      <c r="O515" s="70" t="s">
        <v>2274</v>
      </c>
      <c r="P515" s="70"/>
      <c r="Q515" s="70"/>
      <c r="R515" s="70" t="s">
        <v>2274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" thickBot="1" x14ac:dyDescent="0.35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28</v>
      </c>
      <c r="K516" s="146" t="s">
        <v>2052</v>
      </c>
      <c r="L516" s="31">
        <f t="shared" si="25"/>
        <v>0</v>
      </c>
      <c r="M516" s="32">
        <f t="shared" si="26"/>
        <v>1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</row>
    <row r="517" spans="1:44" ht="15" hidden="1" thickBot="1" x14ac:dyDescent="0.35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" thickBot="1" x14ac:dyDescent="0.35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" hidden="1" thickBot="1" x14ac:dyDescent="0.35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16</v>
      </c>
      <c r="K519" s="146" t="s">
        <v>2055</v>
      </c>
      <c r="L519" s="31">
        <f t="shared" si="25"/>
        <v>12</v>
      </c>
      <c r="M519" s="32">
        <f t="shared" si="26"/>
        <v>0.5714285714285714</v>
      </c>
      <c r="N519" s="70" t="s">
        <v>2274</v>
      </c>
      <c r="O519" s="70" t="s">
        <v>2274</v>
      </c>
      <c r="P519" s="70"/>
      <c r="Q519" s="70" t="s">
        <v>2274</v>
      </c>
      <c r="R519" s="70" t="s">
        <v>2274</v>
      </c>
      <c r="S519" s="70" t="s">
        <v>2274</v>
      </c>
      <c r="T519" s="70" t="s">
        <v>2274</v>
      </c>
      <c r="U519" s="70"/>
      <c r="V519" s="70" t="s">
        <v>2274</v>
      </c>
      <c r="W519" s="70" t="s">
        <v>2274</v>
      </c>
      <c r="X519" s="70" t="s">
        <v>2274</v>
      </c>
      <c r="Y519" s="70" t="s">
        <v>2274</v>
      </c>
      <c r="Z519" s="70"/>
      <c r="AA519" s="70"/>
      <c r="AB519" s="70"/>
      <c r="AC519" s="70" t="s">
        <v>2274</v>
      </c>
      <c r="AD519" s="70" t="s">
        <v>2274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</row>
    <row r="520" spans="1:44" ht="15" hidden="1" thickBot="1" x14ac:dyDescent="0.35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28</v>
      </c>
      <c r="K520" s="146" t="s">
        <v>2056</v>
      </c>
      <c r="L520" s="31">
        <f t="shared" si="25"/>
        <v>0</v>
      </c>
      <c r="M520" s="32">
        <f t="shared" si="26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" hidden="1" thickBot="1" x14ac:dyDescent="0.35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" hidden="1" thickBot="1" x14ac:dyDescent="0.35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" hidden="1" thickBot="1" x14ac:dyDescent="0.35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" hidden="1" thickBot="1" x14ac:dyDescent="0.35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" hidden="1" thickBot="1" x14ac:dyDescent="0.35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" hidden="1" thickBot="1" x14ac:dyDescent="0.35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" hidden="1" thickBot="1" x14ac:dyDescent="0.35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" hidden="1" thickBot="1" x14ac:dyDescent="0.35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" hidden="1" thickBot="1" x14ac:dyDescent="0.35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" thickBot="1" x14ac:dyDescent="0.35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" hidden="1" thickBot="1" x14ac:dyDescent="0.35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" hidden="1" thickBot="1" x14ac:dyDescent="0.35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" hidden="1" thickBot="1" x14ac:dyDescent="0.35">
      <c r="A533" s="73" t="s">
        <v>517</v>
      </c>
      <c r="B533" s="85" t="s">
        <v>2212</v>
      </c>
      <c r="C533" s="85" t="s">
        <v>1058</v>
      </c>
      <c r="D533" s="73" t="s">
        <v>2213</v>
      </c>
      <c r="E533" s="30" t="s">
        <v>72</v>
      </c>
      <c r="F533" s="85" t="s">
        <v>1296</v>
      </c>
      <c r="G533" s="85"/>
      <c r="H533" s="85" t="s">
        <v>2214</v>
      </c>
      <c r="I533" s="85"/>
      <c r="J533" s="141">
        <f t="shared" si="24"/>
        <v>28</v>
      </c>
      <c r="K533" s="146" t="s">
        <v>2215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" hidden="1" thickBot="1" x14ac:dyDescent="0.35">
      <c r="A534" s="73" t="s">
        <v>517</v>
      </c>
      <c r="B534" s="85" t="s">
        <v>2216</v>
      </c>
      <c r="C534" s="85" t="s">
        <v>1058</v>
      </c>
      <c r="D534" s="73" t="s">
        <v>2217</v>
      </c>
      <c r="E534" s="85" t="s">
        <v>14</v>
      </c>
      <c r="F534" s="85" t="s">
        <v>1296</v>
      </c>
      <c r="G534" s="85"/>
      <c r="H534" s="85" t="s">
        <v>2218</v>
      </c>
      <c r="I534" s="85"/>
      <c r="J534" s="141">
        <f t="shared" si="24"/>
        <v>28</v>
      </c>
      <c r="K534" s="146" t="s">
        <v>2219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" thickBot="1" x14ac:dyDescent="0.35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2322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" hidden="1" thickBot="1" x14ac:dyDescent="0.35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2322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" hidden="1" thickBot="1" x14ac:dyDescent="0.35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2322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" hidden="1" thickBot="1" x14ac:dyDescent="0.35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2322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" hidden="1" thickBot="1" x14ac:dyDescent="0.35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2322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" hidden="1" thickBot="1" x14ac:dyDescent="0.35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2322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" thickBot="1" x14ac:dyDescent="0.35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2322</v>
      </c>
      <c r="J541" s="31">
        <f t="shared" si="24"/>
        <v>26</v>
      </c>
      <c r="K541" s="73"/>
      <c r="L541" s="31">
        <f t="shared" si="25"/>
        <v>2</v>
      </c>
      <c r="M541" s="32">
        <f t="shared" si="26"/>
        <v>0.9285714285714286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2274</v>
      </c>
      <c r="AE541" s="70" t="s">
        <v>2274</v>
      </c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</row>
    <row r="542" spans="1:44" s="90" customFormat="1" ht="15" thickBot="1" x14ac:dyDescent="0.35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2322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" hidden="1" thickBot="1" x14ac:dyDescent="0.35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27</v>
      </c>
      <c r="K543" s="146" t="s">
        <v>2075</v>
      </c>
      <c r="L543" s="141">
        <f t="shared" si="25"/>
        <v>1</v>
      </c>
      <c r="M543" s="142">
        <f t="shared" si="26"/>
        <v>0.9642857142857143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2274</v>
      </c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</row>
    <row r="544" spans="1:44" ht="15" hidden="1" thickBot="1" x14ac:dyDescent="0.35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" hidden="1" thickBot="1" x14ac:dyDescent="0.35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2274</v>
      </c>
      <c r="O545" s="70" t="s">
        <v>2274</v>
      </c>
      <c r="P545" s="70" t="s">
        <v>2274</v>
      </c>
      <c r="Q545" s="70" t="s">
        <v>2274</v>
      </c>
      <c r="R545" s="70" t="s">
        <v>2274</v>
      </c>
      <c r="S545" s="70" t="s">
        <v>2274</v>
      </c>
      <c r="T545" s="70" t="s">
        <v>2274</v>
      </c>
      <c r="U545" s="70"/>
      <c r="V545" s="70" t="s">
        <v>2274</v>
      </c>
      <c r="W545" s="70" t="s">
        <v>2274</v>
      </c>
      <c r="X545" s="70" t="s">
        <v>2274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" hidden="1" thickBot="1" x14ac:dyDescent="0.35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28</v>
      </c>
      <c r="K546" s="146" t="s">
        <v>2078</v>
      </c>
      <c r="L546" s="141">
        <f t="shared" si="28"/>
        <v>0</v>
      </c>
      <c r="M546" s="142">
        <f t="shared" si="29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" hidden="1" thickBot="1" x14ac:dyDescent="0.35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" hidden="1" thickBot="1" x14ac:dyDescent="0.35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" hidden="1" thickBot="1" x14ac:dyDescent="0.35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" hidden="1" thickBot="1" x14ac:dyDescent="0.35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" hidden="1" thickBot="1" x14ac:dyDescent="0.35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" hidden="1" thickBot="1" x14ac:dyDescent="0.35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" hidden="1" thickBot="1" x14ac:dyDescent="0.35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" hidden="1" thickBot="1" x14ac:dyDescent="0.35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" hidden="1" thickBot="1" x14ac:dyDescent="0.35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2274</v>
      </c>
      <c r="Z555" s="70" t="s">
        <v>2274</v>
      </c>
      <c r="AA555" s="70"/>
      <c r="AB555" s="70"/>
      <c r="AC555" s="70" t="s">
        <v>2274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" hidden="1" thickBot="1" x14ac:dyDescent="0.35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18</v>
      </c>
      <c r="K556" s="87"/>
      <c r="L556" s="141">
        <f t="shared" si="28"/>
        <v>10</v>
      </c>
      <c r="M556" s="142">
        <f t="shared" si="29"/>
        <v>0.6428571428571429</v>
      </c>
      <c r="N556" s="70" t="s">
        <v>2274</v>
      </c>
      <c r="O556" s="70" t="s">
        <v>2274</v>
      </c>
      <c r="P556" s="70" t="s">
        <v>2274</v>
      </c>
      <c r="Q556" s="70" t="s">
        <v>2274</v>
      </c>
      <c r="R556" s="70" t="s">
        <v>2274</v>
      </c>
      <c r="S556" s="70" t="s">
        <v>2274</v>
      </c>
      <c r="T556" s="70" t="s">
        <v>2274</v>
      </c>
      <c r="U556" s="70"/>
      <c r="V556" s="70" t="s">
        <v>2274</v>
      </c>
      <c r="W556" s="70" t="s">
        <v>2274</v>
      </c>
      <c r="X556" s="70" t="s">
        <v>2274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</row>
    <row r="557" spans="1:44" s="73" customFormat="1" ht="15" hidden="1" thickBot="1" x14ac:dyDescent="0.35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2274</v>
      </c>
      <c r="O557" s="70" t="s">
        <v>2274</v>
      </c>
      <c r="P557" s="70" t="s">
        <v>2274</v>
      </c>
      <c r="Q557" s="70" t="s">
        <v>2274</v>
      </c>
      <c r="R557" s="70" t="s">
        <v>2274</v>
      </c>
      <c r="S557" s="70" t="s">
        <v>2274</v>
      </c>
      <c r="T557" s="70" t="s">
        <v>2274</v>
      </c>
      <c r="U557" s="70"/>
      <c r="V557" s="70" t="s">
        <v>2274</v>
      </c>
      <c r="W557" s="70" t="s">
        <v>2274</v>
      </c>
      <c r="X557" s="70" t="s">
        <v>2274</v>
      </c>
      <c r="Y557" s="70" t="s">
        <v>2274</v>
      </c>
      <c r="Z557" s="70" t="s">
        <v>2274</v>
      </c>
      <c r="AA557" s="70"/>
      <c r="AB557" s="70"/>
      <c r="AC557" s="70" t="s">
        <v>2274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" hidden="1" thickBot="1" x14ac:dyDescent="0.35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13</v>
      </c>
      <c r="K558" s="87" t="s">
        <v>2171</v>
      </c>
      <c r="L558" s="31">
        <f t="shared" si="28"/>
        <v>15</v>
      </c>
      <c r="M558" s="32">
        <f t="shared" si="29"/>
        <v>0.4642857142857143</v>
      </c>
      <c r="N558" s="70" t="s">
        <v>2274</v>
      </c>
      <c r="O558" s="70" t="s">
        <v>2274</v>
      </c>
      <c r="P558" s="70" t="s">
        <v>2274</v>
      </c>
      <c r="Q558" s="70" t="s">
        <v>2274</v>
      </c>
      <c r="R558" s="70" t="s">
        <v>2274</v>
      </c>
      <c r="S558" s="70" t="s">
        <v>2274</v>
      </c>
      <c r="T558" s="70" t="s">
        <v>2274</v>
      </c>
      <c r="U558" s="70"/>
      <c r="V558" s="70" t="s">
        <v>2274</v>
      </c>
      <c r="W558" s="70" t="s">
        <v>2274</v>
      </c>
      <c r="X558" s="70" t="s">
        <v>2274</v>
      </c>
      <c r="Y558" s="70" t="s">
        <v>2274</v>
      </c>
      <c r="Z558" s="70" t="s">
        <v>2274</v>
      </c>
      <c r="AA558" s="70"/>
      <c r="AB558" s="70"/>
      <c r="AC558" s="70" t="s">
        <v>2274</v>
      </c>
      <c r="AD558" s="70" t="s">
        <v>2274</v>
      </c>
      <c r="AE558" s="70" t="s">
        <v>2274</v>
      </c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</row>
    <row r="559" spans="1:44" ht="15" hidden="1" thickBot="1" x14ac:dyDescent="0.35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2274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" hidden="1" thickBot="1" x14ac:dyDescent="0.35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13</v>
      </c>
      <c r="K560" s="87" t="s">
        <v>2172</v>
      </c>
      <c r="L560" s="31">
        <f t="shared" si="28"/>
        <v>15</v>
      </c>
      <c r="M560" s="32">
        <f t="shared" si="29"/>
        <v>0.4642857142857143</v>
      </c>
      <c r="N560" s="70" t="s">
        <v>2274</v>
      </c>
      <c r="O560" s="70" t="s">
        <v>2274</v>
      </c>
      <c r="P560" s="70" t="s">
        <v>2274</v>
      </c>
      <c r="Q560" s="70" t="s">
        <v>2274</v>
      </c>
      <c r="R560" s="70" t="s">
        <v>2274</v>
      </c>
      <c r="S560" s="70" t="s">
        <v>2274</v>
      </c>
      <c r="T560" s="70" t="s">
        <v>2274</v>
      </c>
      <c r="U560" s="70"/>
      <c r="V560" s="70" t="s">
        <v>2274</v>
      </c>
      <c r="W560" s="70" t="s">
        <v>2274</v>
      </c>
      <c r="X560" s="70" t="s">
        <v>2274</v>
      </c>
      <c r="Y560" s="70" t="s">
        <v>2274</v>
      </c>
      <c r="Z560" s="70" t="s">
        <v>2274</v>
      </c>
      <c r="AA560" s="70"/>
      <c r="AB560" s="70"/>
      <c r="AC560" s="70" t="s">
        <v>2274</v>
      </c>
      <c r="AD560" s="70" t="s">
        <v>2274</v>
      </c>
      <c r="AE560" s="70" t="s">
        <v>2274</v>
      </c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</row>
    <row r="561" spans="1:44" ht="15" hidden="1" thickBot="1" x14ac:dyDescent="0.35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2274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" hidden="1" thickBot="1" x14ac:dyDescent="0.35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2274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" hidden="1" thickBot="1" x14ac:dyDescent="0.35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" hidden="1" thickBot="1" x14ac:dyDescent="0.35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2274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" hidden="1" thickBot="1" x14ac:dyDescent="0.35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" hidden="1" thickBot="1" x14ac:dyDescent="0.35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28</v>
      </c>
      <c r="K566" s="146" t="s">
        <v>2089</v>
      </c>
      <c r="L566" s="31">
        <f t="shared" si="28"/>
        <v>0</v>
      </c>
      <c r="M566" s="32">
        <f t="shared" si="29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" hidden="1" thickBot="1" x14ac:dyDescent="0.35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28</v>
      </c>
      <c r="K567" s="146" t="s">
        <v>2090</v>
      </c>
      <c r="L567" s="31">
        <f t="shared" si="28"/>
        <v>0</v>
      </c>
      <c r="M567" s="32">
        <f t="shared" si="29"/>
        <v>1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" hidden="1" thickBot="1" x14ac:dyDescent="0.35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13</v>
      </c>
      <c r="K568" s="146" t="s">
        <v>2091</v>
      </c>
      <c r="L568" s="31">
        <f t="shared" si="28"/>
        <v>15</v>
      </c>
      <c r="M568" s="32">
        <f t="shared" si="29"/>
        <v>0.4642857142857143</v>
      </c>
      <c r="N568" s="70" t="s">
        <v>2274</v>
      </c>
      <c r="O568" s="70" t="s">
        <v>2274</v>
      </c>
      <c r="P568" s="70" t="s">
        <v>2274</v>
      </c>
      <c r="Q568" s="70" t="s">
        <v>2274</v>
      </c>
      <c r="R568" s="70" t="s">
        <v>2274</v>
      </c>
      <c r="S568" s="70" t="s">
        <v>2274</v>
      </c>
      <c r="T568" s="70" t="s">
        <v>2274</v>
      </c>
      <c r="U568" s="70"/>
      <c r="V568" s="70" t="s">
        <v>2274</v>
      </c>
      <c r="W568" s="70" t="s">
        <v>2274</v>
      </c>
      <c r="X568" s="70" t="s">
        <v>2274</v>
      </c>
      <c r="Y568" s="70" t="s">
        <v>2274</v>
      </c>
      <c r="Z568" s="70" t="s">
        <v>2274</v>
      </c>
      <c r="AA568" s="70"/>
      <c r="AB568" s="70"/>
      <c r="AC568" s="70" t="s">
        <v>2274</v>
      </c>
      <c r="AD568" s="70" t="s">
        <v>2274</v>
      </c>
      <c r="AE568" s="70" t="s">
        <v>2274</v>
      </c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</row>
    <row r="569" spans="1:44" ht="15" hidden="1" thickBot="1" x14ac:dyDescent="0.35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13</v>
      </c>
      <c r="K569" s="146" t="s">
        <v>2092</v>
      </c>
      <c r="L569" s="31">
        <f t="shared" si="28"/>
        <v>15</v>
      </c>
      <c r="M569" s="32">
        <f t="shared" si="29"/>
        <v>0.4642857142857143</v>
      </c>
      <c r="N569" s="70" t="s">
        <v>2274</v>
      </c>
      <c r="O569" s="70" t="s">
        <v>2274</v>
      </c>
      <c r="P569" s="70" t="s">
        <v>2274</v>
      </c>
      <c r="Q569" s="70" t="s">
        <v>2274</v>
      </c>
      <c r="R569" s="70" t="s">
        <v>2274</v>
      </c>
      <c r="S569" s="70" t="s">
        <v>2274</v>
      </c>
      <c r="T569" s="70" t="s">
        <v>2274</v>
      </c>
      <c r="U569" s="70"/>
      <c r="V569" s="70" t="s">
        <v>2274</v>
      </c>
      <c r="W569" s="70" t="s">
        <v>2274</v>
      </c>
      <c r="X569" s="70" t="s">
        <v>2274</v>
      </c>
      <c r="Y569" s="70" t="s">
        <v>2274</v>
      </c>
      <c r="Z569" s="70" t="s">
        <v>2274</v>
      </c>
      <c r="AA569" s="70"/>
      <c r="AB569" s="70"/>
      <c r="AC569" s="70" t="s">
        <v>2274</v>
      </c>
      <c r="AD569" s="70" t="s">
        <v>2274</v>
      </c>
      <c r="AE569" s="70" t="s">
        <v>2274</v>
      </c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" hidden="1" thickBot="1" x14ac:dyDescent="0.35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14</v>
      </c>
      <c r="K570" s="146" t="s">
        <v>2093</v>
      </c>
      <c r="L570" s="31">
        <f t="shared" si="28"/>
        <v>14</v>
      </c>
      <c r="M570" s="32">
        <f t="shared" si="29"/>
        <v>0.5</v>
      </c>
      <c r="N570" s="70" t="s">
        <v>2274</v>
      </c>
      <c r="O570" s="70" t="s">
        <v>2274</v>
      </c>
      <c r="P570" s="70" t="s">
        <v>2274</v>
      </c>
      <c r="Q570" s="70" t="s">
        <v>2274</v>
      </c>
      <c r="R570" s="70" t="s">
        <v>2274</v>
      </c>
      <c r="S570" s="70" t="s">
        <v>2274</v>
      </c>
      <c r="T570" s="70" t="s">
        <v>2274</v>
      </c>
      <c r="U570" s="70"/>
      <c r="V570" s="70" t="s">
        <v>2274</v>
      </c>
      <c r="W570" s="70" t="s">
        <v>2274</v>
      </c>
      <c r="X570" s="70" t="s">
        <v>2274</v>
      </c>
      <c r="Y570" s="70" t="s">
        <v>2274</v>
      </c>
      <c r="Z570" s="70"/>
      <c r="AA570" s="70"/>
      <c r="AB570" s="70"/>
      <c r="AC570" s="70" t="s">
        <v>2274</v>
      </c>
      <c r="AD570" s="70" t="s">
        <v>2274</v>
      </c>
      <c r="AE570" s="70" t="s">
        <v>2274</v>
      </c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" hidden="1" thickBot="1" x14ac:dyDescent="0.35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13</v>
      </c>
      <c r="K571" s="146" t="s">
        <v>2094</v>
      </c>
      <c r="L571" s="31">
        <f t="shared" si="28"/>
        <v>15</v>
      </c>
      <c r="M571" s="32">
        <f t="shared" si="29"/>
        <v>0.4642857142857143</v>
      </c>
      <c r="N571" s="70" t="s">
        <v>2274</v>
      </c>
      <c r="O571" s="70" t="s">
        <v>2274</v>
      </c>
      <c r="P571" s="70" t="s">
        <v>2274</v>
      </c>
      <c r="Q571" s="70" t="s">
        <v>2274</v>
      </c>
      <c r="R571" s="70" t="s">
        <v>2274</v>
      </c>
      <c r="S571" s="70" t="s">
        <v>2274</v>
      </c>
      <c r="T571" s="70" t="s">
        <v>2274</v>
      </c>
      <c r="U571" s="70"/>
      <c r="V571" s="70" t="s">
        <v>2274</v>
      </c>
      <c r="W571" s="70" t="s">
        <v>2274</v>
      </c>
      <c r="X571" s="70" t="s">
        <v>2274</v>
      </c>
      <c r="Y571" s="70" t="s">
        <v>2274</v>
      </c>
      <c r="Z571" s="70" t="s">
        <v>2274</v>
      </c>
      <c r="AA571" s="70"/>
      <c r="AB571" s="70"/>
      <c r="AC571" s="70" t="s">
        <v>2274</v>
      </c>
      <c r="AD571" s="70" t="s">
        <v>2274</v>
      </c>
      <c r="AE571" s="70" t="s">
        <v>2274</v>
      </c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" hidden="1" thickBot="1" x14ac:dyDescent="0.35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13</v>
      </c>
      <c r="K572" s="146" t="s">
        <v>2095</v>
      </c>
      <c r="L572" s="31">
        <f t="shared" si="28"/>
        <v>15</v>
      </c>
      <c r="M572" s="32">
        <f t="shared" si="29"/>
        <v>0.4642857142857143</v>
      </c>
      <c r="N572" s="70" t="s">
        <v>2274</v>
      </c>
      <c r="O572" s="70" t="s">
        <v>2274</v>
      </c>
      <c r="P572" s="70" t="s">
        <v>2274</v>
      </c>
      <c r="Q572" s="70" t="s">
        <v>2274</v>
      </c>
      <c r="R572" s="70" t="s">
        <v>2274</v>
      </c>
      <c r="S572" s="70" t="s">
        <v>2274</v>
      </c>
      <c r="T572" s="70" t="s">
        <v>2274</v>
      </c>
      <c r="U572" s="70"/>
      <c r="V572" s="70" t="s">
        <v>2274</v>
      </c>
      <c r="W572" s="70" t="s">
        <v>2274</v>
      </c>
      <c r="X572" s="70" t="s">
        <v>2274</v>
      </c>
      <c r="Y572" s="70" t="s">
        <v>2274</v>
      </c>
      <c r="Z572" s="70" t="s">
        <v>2274</v>
      </c>
      <c r="AA572" s="70"/>
      <c r="AB572" s="70"/>
      <c r="AC572" s="70" t="s">
        <v>2274</v>
      </c>
      <c r="AD572" s="70" t="s">
        <v>2274</v>
      </c>
      <c r="AE572" s="70" t="s">
        <v>2274</v>
      </c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" hidden="1" thickBot="1" x14ac:dyDescent="0.35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" hidden="1" thickBot="1" x14ac:dyDescent="0.35">
      <c r="A574" s="73" t="s">
        <v>590</v>
      </c>
      <c r="B574" s="73" t="s">
        <v>2250</v>
      </c>
      <c r="C574" s="73" t="s">
        <v>1058</v>
      </c>
      <c r="D574" s="73" t="s">
        <v>2251</v>
      </c>
      <c r="E574" s="85" t="s">
        <v>14</v>
      </c>
      <c r="F574" s="85" t="s">
        <v>1296</v>
      </c>
      <c r="G574" s="85"/>
      <c r="H574" s="85" t="s">
        <v>2252</v>
      </c>
      <c r="I574" s="85"/>
      <c r="J574" s="141">
        <f t="shared" si="27"/>
        <v>27</v>
      </c>
      <c r="K574" s="87" t="s">
        <v>2253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2274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" hidden="1" thickBot="1" x14ac:dyDescent="0.35">
      <c r="A575" s="73" t="s">
        <v>590</v>
      </c>
      <c r="B575" s="73" t="s">
        <v>2263</v>
      </c>
      <c r="C575" s="73" t="s">
        <v>1058</v>
      </c>
      <c r="D575" s="73" t="s">
        <v>2264</v>
      </c>
      <c r="E575" s="85" t="s">
        <v>14</v>
      </c>
      <c r="F575" s="85"/>
      <c r="G575" s="85"/>
      <c r="H575" s="85" t="s">
        <v>2265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hidden="1" customHeight="1" thickBot="1" x14ac:dyDescent="0.35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28</v>
      </c>
      <c r="K576" s="87" t="s">
        <v>2190</v>
      </c>
      <c r="L576" s="31">
        <f t="shared" si="28"/>
        <v>0</v>
      </c>
      <c r="M576" s="32">
        <f t="shared" si="29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" hidden="1" thickBot="1" x14ac:dyDescent="0.35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27</v>
      </c>
      <c r="K577" s="87" t="s">
        <v>2191</v>
      </c>
      <c r="L577" s="31">
        <f t="shared" si="28"/>
        <v>1</v>
      </c>
      <c r="M577" s="32">
        <f t="shared" si="29"/>
        <v>0.9642857142857143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2274</v>
      </c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</row>
    <row r="578" spans="1:44" ht="15" hidden="1" thickBot="1" x14ac:dyDescent="0.35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" hidden="1" thickBot="1" x14ac:dyDescent="0.35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" hidden="1" thickBot="1" x14ac:dyDescent="0.35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" hidden="1" thickBot="1" x14ac:dyDescent="0.35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" hidden="1" thickBot="1" x14ac:dyDescent="0.35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2322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" hidden="1" thickBot="1" x14ac:dyDescent="0.35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" hidden="1" thickBot="1" x14ac:dyDescent="0.35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" hidden="1" thickBot="1" x14ac:dyDescent="0.35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" hidden="1" thickBot="1" x14ac:dyDescent="0.35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20</v>
      </c>
      <c r="K586" s="146" t="s">
        <v>2102</v>
      </c>
      <c r="L586" s="141">
        <f t="shared" si="28"/>
        <v>8</v>
      </c>
      <c r="M586" s="142">
        <f t="shared" si="29"/>
        <v>0.7142857142857143</v>
      </c>
      <c r="N586" s="70"/>
      <c r="O586" s="70" t="s">
        <v>2274</v>
      </c>
      <c r="P586" s="70" t="s">
        <v>2274</v>
      </c>
      <c r="Q586" s="70" t="s">
        <v>2274</v>
      </c>
      <c r="R586" s="70" t="s">
        <v>2274</v>
      </c>
      <c r="S586" s="70" t="s">
        <v>2274</v>
      </c>
      <c r="T586" s="70" t="s">
        <v>2274</v>
      </c>
      <c r="U586" s="70"/>
      <c r="V586" s="70" t="s">
        <v>2274</v>
      </c>
      <c r="W586" s="70" t="s">
        <v>2274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</row>
    <row r="587" spans="1:44" s="73" customFormat="1" ht="15" hidden="1" thickBot="1" x14ac:dyDescent="0.35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" hidden="1" thickBot="1" x14ac:dyDescent="0.35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" hidden="1" thickBot="1" x14ac:dyDescent="0.35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" hidden="1" thickBot="1" x14ac:dyDescent="0.35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hidden="1" customHeight="1" thickBot="1" x14ac:dyDescent="0.35">
      <c r="A591" s="73" t="s">
        <v>601</v>
      </c>
      <c r="B591" s="73" t="s">
        <v>2281</v>
      </c>
      <c r="C591" s="73" t="s">
        <v>1057</v>
      </c>
      <c r="D591" s="73" t="s">
        <v>2282</v>
      </c>
      <c r="E591" s="85" t="s">
        <v>14</v>
      </c>
      <c r="F591" s="85" t="s">
        <v>1296</v>
      </c>
      <c r="G591" s="85"/>
      <c r="H591" s="85" t="s">
        <v>2283</v>
      </c>
      <c r="I591" s="85"/>
      <c r="J591" s="141">
        <f t="shared" si="27"/>
        <v>28</v>
      </c>
      <c r="K591" s="150" t="s">
        <v>2284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3">
      <c r="N596"/>
    </row>
    <row r="671" spans="14:44" x14ac:dyDescent="0.3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3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3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3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3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3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3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3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3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3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3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3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3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3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3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3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3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3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3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3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3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3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3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3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3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3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3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3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3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3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3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3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3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3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3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3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3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3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3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3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3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3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3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3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3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3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3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3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3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3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3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3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3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3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3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3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3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3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3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3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3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3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3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3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3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3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3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3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3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3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3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3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3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3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3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3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3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3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3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3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3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3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3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3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3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3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3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3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3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3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3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3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3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3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3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3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3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3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3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3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3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3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3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3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3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3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3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3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3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3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3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3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3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3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3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3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3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3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3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3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3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3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3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3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3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3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3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3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3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3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3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3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3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3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3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3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3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3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3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3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3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3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3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3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3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3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3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3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3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3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3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3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3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3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3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3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3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3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3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3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3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3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3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3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3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3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3">
      <c r="E837" s="30"/>
      <c r="F837" s="30"/>
      <c r="G837" s="30"/>
      <c r="H837" s="30"/>
      <c r="I837" s="30"/>
      <c r="M837" s="13"/>
      <c r="P837" s="70"/>
    </row>
    <row r="838" spans="5:44" x14ac:dyDescent="0.3">
      <c r="E838" s="30"/>
      <c r="F838" s="30"/>
      <c r="G838" s="30"/>
      <c r="H838" s="30"/>
      <c r="I838" s="30"/>
      <c r="M838" s="13"/>
      <c r="P838" s="70"/>
    </row>
    <row r="839" spans="5:44" x14ac:dyDescent="0.3">
      <c r="E839" s="30"/>
      <c r="F839" s="30"/>
      <c r="G839" s="30"/>
      <c r="H839" s="30"/>
      <c r="I839" s="30"/>
      <c r="M839" s="13"/>
      <c r="P839" s="70"/>
    </row>
    <row r="840" spans="5:44" x14ac:dyDescent="0.3">
      <c r="M840" s="13"/>
      <c r="P840" s="70"/>
    </row>
    <row r="841" spans="5:44" x14ac:dyDescent="0.3">
      <c r="P841" s="70"/>
    </row>
    <row r="842" spans="5:44" x14ac:dyDescent="0.3">
      <c r="P842" s="70"/>
    </row>
    <row r="843" spans="5:44" x14ac:dyDescent="0.3">
      <c r="P843" s="70"/>
    </row>
    <row r="844" spans="5:44" x14ac:dyDescent="0.3">
      <c r="P844" s="70"/>
    </row>
    <row r="845" spans="5:44" x14ac:dyDescent="0.3">
      <c r="P845" s="70"/>
    </row>
    <row r="846" spans="5:44" x14ac:dyDescent="0.3">
      <c r="P846" s="70"/>
    </row>
    <row r="847" spans="5:44" x14ac:dyDescent="0.3">
      <c r="P847" s="70"/>
    </row>
    <row r="848" spans="5:44" x14ac:dyDescent="0.3">
      <c r="P848" s="70"/>
    </row>
    <row r="849" spans="16:16" x14ac:dyDescent="0.3">
      <c r="P849" s="70"/>
    </row>
    <row r="850" spans="16:16" x14ac:dyDescent="0.3">
      <c r="P850" s="70"/>
    </row>
    <row r="851" spans="16:16" x14ac:dyDescent="0.3">
      <c r="P851" s="70"/>
    </row>
    <row r="852" spans="16:16" x14ac:dyDescent="0.3">
      <c r="P852" s="70"/>
    </row>
    <row r="853" spans="16:16" x14ac:dyDescent="0.3">
      <c r="P853" s="70"/>
    </row>
    <row r="854" spans="16:16" x14ac:dyDescent="0.3">
      <c r="P854" s="70"/>
    </row>
    <row r="855" spans="16:16" x14ac:dyDescent="0.3">
      <c r="P855" s="70"/>
    </row>
    <row r="856" spans="16:16" x14ac:dyDescent="0.3">
      <c r="P856" s="70"/>
    </row>
    <row r="857" spans="16:16" x14ac:dyDescent="0.3">
      <c r="P857" s="70"/>
    </row>
    <row r="858" spans="16:16" x14ac:dyDescent="0.3">
      <c r="P858" s="70"/>
    </row>
    <row r="859" spans="16:16" x14ac:dyDescent="0.3">
      <c r="P859" s="70"/>
    </row>
    <row r="860" spans="16:16" x14ac:dyDescent="0.3">
      <c r="P860" s="70"/>
    </row>
    <row r="861" spans="16:16" x14ac:dyDescent="0.3">
      <c r="P861" s="70"/>
    </row>
    <row r="862" spans="16:16" x14ac:dyDescent="0.3">
      <c r="P862" s="70"/>
    </row>
    <row r="863" spans="16:16" x14ac:dyDescent="0.3">
      <c r="P863" s="70"/>
    </row>
    <row r="864" spans="16:16" x14ac:dyDescent="0.3">
      <c r="P864" s="70"/>
    </row>
    <row r="865" spans="16:16" x14ac:dyDescent="0.3">
      <c r="P865" s="70"/>
    </row>
    <row r="866" spans="16:16" x14ac:dyDescent="0.3">
      <c r="P866" s="70"/>
    </row>
    <row r="867" spans="16:16" x14ac:dyDescent="0.3">
      <c r="P867" s="70"/>
    </row>
    <row r="868" spans="16:16" x14ac:dyDescent="0.3">
      <c r="P868" s="70"/>
    </row>
    <row r="869" spans="16:16" x14ac:dyDescent="0.3">
      <c r="P869" s="70"/>
    </row>
    <row r="870" spans="16:16" x14ac:dyDescent="0.3">
      <c r="P870" s="70"/>
    </row>
    <row r="871" spans="16:16" x14ac:dyDescent="0.3">
      <c r="P871" s="70"/>
    </row>
    <row r="872" spans="16:16" x14ac:dyDescent="0.3">
      <c r="P872" s="70"/>
    </row>
    <row r="873" spans="16:16" x14ac:dyDescent="0.3">
      <c r="P873" s="70"/>
    </row>
    <row r="874" spans="16:16" x14ac:dyDescent="0.3">
      <c r="P874" s="70"/>
    </row>
    <row r="875" spans="16:16" x14ac:dyDescent="0.3">
      <c r="P875" s="70"/>
    </row>
    <row r="876" spans="16:16" x14ac:dyDescent="0.3">
      <c r="P876" s="70"/>
    </row>
    <row r="877" spans="16:16" x14ac:dyDescent="0.3">
      <c r="P877" s="70"/>
    </row>
    <row r="878" spans="16:16" x14ac:dyDescent="0.3">
      <c r="P878" s="70"/>
    </row>
    <row r="879" spans="16:16" x14ac:dyDescent="0.3">
      <c r="P879" s="70"/>
    </row>
    <row r="880" spans="16:16" x14ac:dyDescent="0.3">
      <c r="P880" s="70"/>
    </row>
    <row r="881" spans="16:16" x14ac:dyDescent="0.3">
      <c r="P881" s="70"/>
    </row>
    <row r="882" spans="16:16" x14ac:dyDescent="0.3">
      <c r="P882" s="70"/>
    </row>
    <row r="883" spans="16:16" x14ac:dyDescent="0.3">
      <c r="P883" s="70"/>
    </row>
    <row r="884" spans="16:16" x14ac:dyDescent="0.3">
      <c r="P884" s="70"/>
    </row>
    <row r="885" spans="16:16" x14ac:dyDescent="0.3">
      <c r="P885" s="70"/>
    </row>
    <row r="886" spans="16:16" x14ac:dyDescent="0.3">
      <c r="P886" s="70"/>
    </row>
    <row r="887" spans="16:16" x14ac:dyDescent="0.3">
      <c r="P887" s="70"/>
    </row>
    <row r="888" spans="16:16" x14ac:dyDescent="0.3">
      <c r="P888" s="70"/>
    </row>
    <row r="889" spans="16:16" x14ac:dyDescent="0.3">
      <c r="P889" s="70"/>
    </row>
    <row r="890" spans="16:16" x14ac:dyDescent="0.3">
      <c r="P890" s="70"/>
    </row>
    <row r="891" spans="16:16" x14ac:dyDescent="0.3">
      <c r="P891" s="70"/>
    </row>
    <row r="892" spans="16:16" x14ac:dyDescent="0.3">
      <c r="P892" s="70"/>
    </row>
    <row r="893" spans="16:16" x14ac:dyDescent="0.3">
      <c r="P893" s="70"/>
    </row>
    <row r="894" spans="16:16" x14ac:dyDescent="0.3">
      <c r="P894" s="70"/>
    </row>
    <row r="895" spans="16:16" x14ac:dyDescent="0.3">
      <c r="P895" s="70"/>
    </row>
    <row r="896" spans="16:16" x14ac:dyDescent="0.3">
      <c r="P896" s="70"/>
    </row>
    <row r="897" spans="16:16" x14ac:dyDescent="0.3">
      <c r="P897" s="70"/>
    </row>
    <row r="898" spans="16:16" x14ac:dyDescent="0.3">
      <c r="P898" s="70"/>
    </row>
    <row r="899" spans="16:16" x14ac:dyDescent="0.3">
      <c r="P899" s="70"/>
    </row>
    <row r="900" spans="16:16" x14ac:dyDescent="0.3">
      <c r="P900" s="70"/>
    </row>
    <row r="901" spans="16:16" x14ac:dyDescent="0.3">
      <c r="P901" s="70"/>
    </row>
    <row r="902" spans="16:16" x14ac:dyDescent="0.3">
      <c r="P902" s="70"/>
    </row>
    <row r="903" spans="16:16" x14ac:dyDescent="0.3">
      <c r="P903" s="70"/>
    </row>
    <row r="904" spans="16:16" x14ac:dyDescent="0.3">
      <c r="P904" s="70"/>
    </row>
    <row r="905" spans="16:16" x14ac:dyDescent="0.3">
      <c r="P905" s="70"/>
    </row>
    <row r="906" spans="16:16" x14ac:dyDescent="0.3">
      <c r="P906" s="70"/>
    </row>
    <row r="907" spans="16:16" x14ac:dyDescent="0.3">
      <c r="P907" s="70"/>
    </row>
    <row r="908" spans="16:16" x14ac:dyDescent="0.3">
      <c r="P908" s="70"/>
    </row>
    <row r="909" spans="16:16" x14ac:dyDescent="0.3">
      <c r="P909" s="70"/>
    </row>
    <row r="910" spans="16:16" x14ac:dyDescent="0.3">
      <c r="P910" s="70"/>
    </row>
    <row r="911" spans="16:16" x14ac:dyDescent="0.3">
      <c r="P911" s="70"/>
    </row>
    <row r="912" spans="16:16" x14ac:dyDescent="0.3">
      <c r="P912" s="70"/>
    </row>
    <row r="913" spans="16:16" x14ac:dyDescent="0.3">
      <c r="P913" s="70"/>
    </row>
    <row r="914" spans="16:16" x14ac:dyDescent="0.3">
      <c r="P914" s="70"/>
    </row>
    <row r="915" spans="16:16" x14ac:dyDescent="0.3">
      <c r="P915" s="70"/>
    </row>
    <row r="916" spans="16:16" x14ac:dyDescent="0.3">
      <c r="P916" s="70"/>
    </row>
    <row r="917" spans="16:16" x14ac:dyDescent="0.3">
      <c r="P917" s="70"/>
    </row>
    <row r="918" spans="16:16" x14ac:dyDescent="0.3">
      <c r="P918" s="70"/>
    </row>
    <row r="919" spans="16:16" x14ac:dyDescent="0.3">
      <c r="P919" s="70"/>
    </row>
    <row r="920" spans="16:16" x14ac:dyDescent="0.3">
      <c r="P920" s="70"/>
    </row>
    <row r="921" spans="16:16" x14ac:dyDescent="0.3">
      <c r="P921" s="70"/>
    </row>
    <row r="922" spans="16:16" x14ac:dyDescent="0.3">
      <c r="P922" s="70"/>
    </row>
    <row r="923" spans="16:16" x14ac:dyDescent="0.3">
      <c r="P923" s="70"/>
    </row>
    <row r="924" spans="16:16" x14ac:dyDescent="0.3">
      <c r="P924" s="70"/>
    </row>
    <row r="925" spans="16:16" x14ac:dyDescent="0.3">
      <c r="P925" s="70"/>
    </row>
    <row r="926" spans="16:16" x14ac:dyDescent="0.3">
      <c r="P926" s="70"/>
    </row>
    <row r="927" spans="16:16" x14ac:dyDescent="0.3">
      <c r="P927" s="70"/>
    </row>
    <row r="928" spans="16:16" x14ac:dyDescent="0.3">
      <c r="P928" s="70"/>
    </row>
    <row r="929" spans="16:16" x14ac:dyDescent="0.3">
      <c r="P929" s="70"/>
    </row>
    <row r="930" spans="16:16" x14ac:dyDescent="0.3">
      <c r="P930" s="70"/>
    </row>
    <row r="931" spans="16:16" x14ac:dyDescent="0.3">
      <c r="P931" s="70"/>
    </row>
    <row r="932" spans="16:16" x14ac:dyDescent="0.3">
      <c r="P932" s="70"/>
    </row>
    <row r="933" spans="16:16" x14ac:dyDescent="0.3">
      <c r="P933" s="70"/>
    </row>
    <row r="934" spans="16:16" x14ac:dyDescent="0.3">
      <c r="P934" s="70"/>
    </row>
    <row r="935" spans="16:16" x14ac:dyDescent="0.3">
      <c r="P935" s="70"/>
    </row>
    <row r="936" spans="16:16" x14ac:dyDescent="0.3">
      <c r="P936" s="70"/>
    </row>
    <row r="937" spans="16:16" x14ac:dyDescent="0.3">
      <c r="P937" s="70"/>
    </row>
    <row r="938" spans="16:16" x14ac:dyDescent="0.3">
      <c r="P938" s="70"/>
    </row>
    <row r="939" spans="16:16" x14ac:dyDescent="0.3">
      <c r="P939" s="70"/>
    </row>
    <row r="940" spans="16:16" x14ac:dyDescent="0.3">
      <c r="P940" s="70"/>
    </row>
    <row r="941" spans="16:16" x14ac:dyDescent="0.3">
      <c r="P941" s="70"/>
    </row>
    <row r="942" spans="16:16" x14ac:dyDescent="0.3">
      <c r="P942" s="70"/>
    </row>
    <row r="943" spans="16:16" x14ac:dyDescent="0.3">
      <c r="P943" s="70"/>
    </row>
    <row r="944" spans="16:16" x14ac:dyDescent="0.3">
      <c r="P944" s="70"/>
    </row>
    <row r="945" spans="16:16" x14ac:dyDescent="0.3">
      <c r="P945" s="70"/>
    </row>
    <row r="946" spans="16:16" x14ac:dyDescent="0.3">
      <c r="P946" s="70"/>
    </row>
    <row r="947" spans="16:16" x14ac:dyDescent="0.3">
      <c r="P947" s="70"/>
    </row>
    <row r="948" spans="16:16" x14ac:dyDescent="0.3">
      <c r="P948" s="70"/>
    </row>
    <row r="949" spans="16:16" x14ac:dyDescent="0.3">
      <c r="P949" s="70"/>
    </row>
    <row r="950" spans="16:16" x14ac:dyDescent="0.3">
      <c r="P950" s="70"/>
    </row>
    <row r="951" spans="16:16" x14ac:dyDescent="0.3">
      <c r="P951" s="70"/>
    </row>
    <row r="952" spans="16:16" x14ac:dyDescent="0.3">
      <c r="P952" s="70"/>
    </row>
    <row r="953" spans="16:16" x14ac:dyDescent="0.3">
      <c r="P953" s="70"/>
    </row>
    <row r="954" spans="16:16" x14ac:dyDescent="0.3">
      <c r="P954" s="70"/>
    </row>
    <row r="955" spans="16:16" x14ac:dyDescent="0.3">
      <c r="P955" s="70"/>
    </row>
    <row r="956" spans="16:16" x14ac:dyDescent="0.3">
      <c r="P956" s="70"/>
    </row>
    <row r="957" spans="16:16" x14ac:dyDescent="0.3">
      <c r="P957" s="70"/>
    </row>
    <row r="958" spans="16:16" x14ac:dyDescent="0.3">
      <c r="P958" s="70"/>
    </row>
    <row r="959" spans="16:16" x14ac:dyDescent="0.3">
      <c r="P959" s="70"/>
    </row>
    <row r="960" spans="16:16" x14ac:dyDescent="0.3">
      <c r="P960" s="70"/>
    </row>
    <row r="961" spans="16:16" x14ac:dyDescent="0.3">
      <c r="P961" s="70"/>
    </row>
    <row r="962" spans="16:16" x14ac:dyDescent="0.3">
      <c r="P962" s="70"/>
    </row>
    <row r="963" spans="16:16" x14ac:dyDescent="0.3">
      <c r="P963" s="70"/>
    </row>
    <row r="964" spans="16:16" x14ac:dyDescent="0.3">
      <c r="P964" s="70"/>
    </row>
    <row r="965" spans="16:16" x14ac:dyDescent="0.3">
      <c r="P965" s="70"/>
    </row>
    <row r="966" spans="16:16" x14ac:dyDescent="0.3">
      <c r="P966" s="70"/>
    </row>
    <row r="967" spans="16:16" x14ac:dyDescent="0.3">
      <c r="P967" s="70"/>
    </row>
    <row r="968" spans="16:16" x14ac:dyDescent="0.3">
      <c r="P968" s="70"/>
    </row>
    <row r="969" spans="16:16" x14ac:dyDescent="0.3">
      <c r="P969" s="70"/>
    </row>
    <row r="970" spans="16:16" x14ac:dyDescent="0.3">
      <c r="P970" s="70"/>
    </row>
    <row r="971" spans="16:16" x14ac:dyDescent="0.3">
      <c r="P971" s="70"/>
    </row>
    <row r="972" spans="16:16" x14ac:dyDescent="0.3">
      <c r="P972" s="70"/>
    </row>
    <row r="973" spans="16:16" x14ac:dyDescent="0.3">
      <c r="P973" s="70"/>
    </row>
    <row r="974" spans="16:16" x14ac:dyDescent="0.3">
      <c r="P974" s="70"/>
    </row>
    <row r="975" spans="16:16" x14ac:dyDescent="0.3">
      <c r="P975" s="70"/>
    </row>
    <row r="976" spans="16:16" x14ac:dyDescent="0.3">
      <c r="P976" s="70"/>
    </row>
    <row r="977" spans="16:16" x14ac:dyDescent="0.3">
      <c r="P977" s="70"/>
    </row>
    <row r="978" spans="16:16" x14ac:dyDescent="0.3">
      <c r="P978" s="70"/>
    </row>
    <row r="979" spans="16:16" x14ac:dyDescent="0.3">
      <c r="P979" s="70"/>
    </row>
    <row r="980" spans="16:16" x14ac:dyDescent="0.3">
      <c r="P980" s="70"/>
    </row>
    <row r="981" spans="16:16" x14ac:dyDescent="0.3">
      <c r="P981" s="70"/>
    </row>
    <row r="982" spans="16:16" x14ac:dyDescent="0.3">
      <c r="P982" s="70"/>
    </row>
    <row r="983" spans="16:16" x14ac:dyDescent="0.3">
      <c r="P983" s="70"/>
    </row>
    <row r="984" spans="16:16" x14ac:dyDescent="0.3">
      <c r="P984" s="70"/>
    </row>
    <row r="985" spans="16:16" x14ac:dyDescent="0.3">
      <c r="P985" s="70"/>
    </row>
    <row r="986" spans="16:16" x14ac:dyDescent="0.3">
      <c r="P986" s="70"/>
    </row>
    <row r="987" spans="16:16" x14ac:dyDescent="0.3">
      <c r="P987" s="70"/>
    </row>
    <row r="988" spans="16:16" x14ac:dyDescent="0.3">
      <c r="P988" s="70"/>
    </row>
    <row r="989" spans="16:16" x14ac:dyDescent="0.3">
      <c r="P989" s="70"/>
    </row>
    <row r="990" spans="16:16" x14ac:dyDescent="0.3">
      <c r="P990" s="70"/>
    </row>
    <row r="991" spans="16:16" x14ac:dyDescent="0.3">
      <c r="P991" s="70"/>
    </row>
    <row r="992" spans="16:16" x14ac:dyDescent="0.3">
      <c r="P992" s="70"/>
    </row>
    <row r="993" spans="16:16" x14ac:dyDescent="0.3">
      <c r="P993" s="70"/>
    </row>
    <row r="994" spans="16:16" x14ac:dyDescent="0.3">
      <c r="P994" s="70"/>
    </row>
    <row r="995" spans="16:16" x14ac:dyDescent="0.3">
      <c r="P995" s="70"/>
    </row>
    <row r="996" spans="16:16" x14ac:dyDescent="0.3">
      <c r="P996" s="70"/>
    </row>
    <row r="997" spans="16:16" x14ac:dyDescent="0.3">
      <c r="P997" s="70"/>
    </row>
    <row r="998" spans="16:16" x14ac:dyDescent="0.3">
      <c r="P998" s="70"/>
    </row>
    <row r="999" spans="16:16" x14ac:dyDescent="0.3">
      <c r="P999" s="70"/>
    </row>
    <row r="1000" spans="16:16" x14ac:dyDescent="0.3">
      <c r="P1000" s="70"/>
    </row>
    <row r="1001" spans="16:16" x14ac:dyDescent="0.3">
      <c r="P1001" s="70"/>
    </row>
    <row r="1002" spans="16:16" x14ac:dyDescent="0.3">
      <c r="P1002" s="70"/>
    </row>
    <row r="1003" spans="16:16" x14ac:dyDescent="0.3">
      <c r="P1003" s="70"/>
    </row>
    <row r="1004" spans="16:16" x14ac:dyDescent="0.3">
      <c r="P1004" s="70"/>
    </row>
    <row r="1005" spans="16:16" x14ac:dyDescent="0.3">
      <c r="P1005" s="70"/>
    </row>
    <row r="1006" spans="16:16" x14ac:dyDescent="0.3">
      <c r="P1006" s="70"/>
    </row>
    <row r="1007" spans="16:16" x14ac:dyDescent="0.3">
      <c r="P1007" s="70"/>
    </row>
    <row r="1008" spans="16:16" x14ac:dyDescent="0.3">
      <c r="P1008" s="70"/>
    </row>
    <row r="1009" spans="16:16" x14ac:dyDescent="0.3">
      <c r="P1009" s="70"/>
    </row>
    <row r="1010" spans="16:16" x14ac:dyDescent="0.3">
      <c r="P1010" s="70"/>
    </row>
    <row r="1011" spans="16:16" x14ac:dyDescent="0.3">
      <c r="P1011" s="70"/>
    </row>
    <row r="1012" spans="16:16" x14ac:dyDescent="0.3">
      <c r="P1012" s="70"/>
    </row>
    <row r="1013" spans="16:16" x14ac:dyDescent="0.3">
      <c r="P1013" s="70"/>
    </row>
    <row r="1014" spans="16:16" x14ac:dyDescent="0.3">
      <c r="P1014" s="70"/>
    </row>
    <row r="1015" spans="16:16" x14ac:dyDescent="0.3">
      <c r="P1015" s="70"/>
    </row>
    <row r="1016" spans="16:16" x14ac:dyDescent="0.3">
      <c r="P1016" s="70"/>
    </row>
    <row r="1017" spans="16:16" x14ac:dyDescent="0.3">
      <c r="P1017" s="70"/>
    </row>
    <row r="1018" spans="16:16" x14ac:dyDescent="0.3">
      <c r="P1018" s="70"/>
    </row>
    <row r="1019" spans="16:16" x14ac:dyDescent="0.3">
      <c r="P1019" s="70"/>
    </row>
    <row r="1020" spans="16:16" x14ac:dyDescent="0.3">
      <c r="P1020" s="70"/>
    </row>
    <row r="1021" spans="16:16" x14ac:dyDescent="0.3">
      <c r="P1021" s="70"/>
    </row>
    <row r="1022" spans="16:16" x14ac:dyDescent="0.3">
      <c r="P1022" s="70"/>
    </row>
    <row r="1023" spans="16:16" x14ac:dyDescent="0.3">
      <c r="P1023" s="70"/>
    </row>
    <row r="1024" spans="16:16" x14ac:dyDescent="0.3">
      <c r="P1024" s="70"/>
    </row>
    <row r="1025" spans="16:16" x14ac:dyDescent="0.3">
      <c r="P1025" s="70"/>
    </row>
    <row r="1026" spans="16:16" x14ac:dyDescent="0.3">
      <c r="P1026" s="70"/>
    </row>
    <row r="1027" spans="16:16" x14ac:dyDescent="0.3">
      <c r="P1027" s="70"/>
    </row>
    <row r="1028" spans="16:16" x14ac:dyDescent="0.3">
      <c r="P1028" s="70"/>
    </row>
    <row r="1029" spans="16:16" x14ac:dyDescent="0.3">
      <c r="P1029" s="70"/>
    </row>
    <row r="1030" spans="16:16" x14ac:dyDescent="0.3">
      <c r="P1030" s="70"/>
    </row>
    <row r="1031" spans="16:16" x14ac:dyDescent="0.3">
      <c r="P1031" s="70"/>
    </row>
    <row r="1032" spans="16:16" x14ac:dyDescent="0.3">
      <c r="P1032" s="70"/>
    </row>
    <row r="1033" spans="16:16" x14ac:dyDescent="0.3">
      <c r="P1033" s="70"/>
    </row>
    <row r="1034" spans="16:16" x14ac:dyDescent="0.3">
      <c r="P1034" s="70"/>
    </row>
    <row r="1035" spans="16:16" x14ac:dyDescent="0.3">
      <c r="P1035" s="70"/>
    </row>
    <row r="1036" spans="16:16" x14ac:dyDescent="0.3">
      <c r="P1036" s="70"/>
    </row>
    <row r="1037" spans="16:16" x14ac:dyDescent="0.3">
      <c r="P1037" s="70"/>
    </row>
    <row r="1038" spans="16:16" x14ac:dyDescent="0.3">
      <c r="P1038" s="70"/>
    </row>
    <row r="1039" spans="16:16" x14ac:dyDescent="0.3">
      <c r="P1039" s="70"/>
    </row>
    <row r="1040" spans="16:16" x14ac:dyDescent="0.3">
      <c r="P1040" s="70"/>
    </row>
    <row r="1041" spans="16:16" x14ac:dyDescent="0.3">
      <c r="P1041" s="70"/>
    </row>
    <row r="1042" spans="16:16" x14ac:dyDescent="0.3">
      <c r="P1042" s="70"/>
    </row>
    <row r="1043" spans="16:16" x14ac:dyDescent="0.3">
      <c r="P1043" s="70"/>
    </row>
    <row r="1044" spans="16:16" x14ac:dyDescent="0.3">
      <c r="P1044" s="70"/>
    </row>
    <row r="1045" spans="16:16" x14ac:dyDescent="0.3">
      <c r="P1045" s="70"/>
    </row>
    <row r="1046" spans="16:16" x14ac:dyDescent="0.3">
      <c r="P1046" s="70"/>
    </row>
    <row r="1047" spans="16:16" x14ac:dyDescent="0.3">
      <c r="P1047" s="70"/>
    </row>
    <row r="1048" spans="16:16" x14ac:dyDescent="0.3">
      <c r="P1048" s="70"/>
    </row>
    <row r="1049" spans="16:16" x14ac:dyDescent="0.3">
      <c r="P1049" s="70"/>
    </row>
    <row r="1050" spans="16:16" x14ac:dyDescent="0.3">
      <c r="P1050" s="70"/>
    </row>
    <row r="1051" spans="16:16" x14ac:dyDescent="0.3">
      <c r="P1051" s="70"/>
    </row>
    <row r="1052" spans="16:16" x14ac:dyDescent="0.3">
      <c r="P1052" s="70"/>
    </row>
    <row r="1053" spans="16:16" x14ac:dyDescent="0.3">
      <c r="P1053" s="70"/>
    </row>
    <row r="1054" spans="16:16" x14ac:dyDescent="0.3">
      <c r="P1054" s="70"/>
    </row>
    <row r="1055" spans="16:16" x14ac:dyDescent="0.3">
      <c r="P1055" s="70"/>
    </row>
    <row r="1056" spans="16:16" x14ac:dyDescent="0.3">
      <c r="P1056" s="70"/>
    </row>
    <row r="1057" spans="16:16" x14ac:dyDescent="0.3">
      <c r="P1057" s="70"/>
    </row>
    <row r="1058" spans="16:16" x14ac:dyDescent="0.3">
      <c r="P1058" s="70"/>
    </row>
    <row r="1059" spans="16:16" x14ac:dyDescent="0.3">
      <c r="P1059" s="70"/>
    </row>
    <row r="1060" spans="16:16" x14ac:dyDescent="0.3">
      <c r="P1060" s="70"/>
    </row>
    <row r="1061" spans="16:16" x14ac:dyDescent="0.3">
      <c r="P1061" s="70"/>
    </row>
    <row r="1062" spans="16:16" x14ac:dyDescent="0.3">
      <c r="P1062" s="70"/>
    </row>
    <row r="1063" spans="16:16" x14ac:dyDescent="0.3">
      <c r="P1063" s="70"/>
    </row>
    <row r="1064" spans="16:16" x14ac:dyDescent="0.3">
      <c r="P1064" s="70"/>
    </row>
    <row r="1065" spans="16:16" x14ac:dyDescent="0.3">
      <c r="P1065" s="70"/>
    </row>
    <row r="1066" spans="16:16" x14ac:dyDescent="0.3">
      <c r="P1066" s="70"/>
    </row>
    <row r="1067" spans="16:16" x14ac:dyDescent="0.3">
      <c r="P1067" s="70"/>
    </row>
    <row r="1068" spans="16:16" x14ac:dyDescent="0.3">
      <c r="P1068" s="70"/>
    </row>
    <row r="1069" spans="16:16" x14ac:dyDescent="0.3">
      <c r="P1069" s="70"/>
    </row>
    <row r="1070" spans="16:16" x14ac:dyDescent="0.3">
      <c r="P1070" s="70"/>
    </row>
    <row r="1071" spans="16:16" x14ac:dyDescent="0.3">
      <c r="P1071" s="70"/>
    </row>
    <row r="1072" spans="16:16" x14ac:dyDescent="0.3">
      <c r="P1072" s="70"/>
    </row>
    <row r="1073" spans="16:16" x14ac:dyDescent="0.3">
      <c r="P1073" s="70"/>
    </row>
    <row r="1074" spans="16:16" x14ac:dyDescent="0.3">
      <c r="P1074" s="70"/>
    </row>
    <row r="1075" spans="16:16" x14ac:dyDescent="0.3">
      <c r="P1075" s="70"/>
    </row>
    <row r="1076" spans="16:16" x14ac:dyDescent="0.3">
      <c r="P1076" s="70"/>
    </row>
    <row r="1077" spans="16:16" x14ac:dyDescent="0.3">
      <c r="P1077" s="70"/>
    </row>
    <row r="1078" spans="16:16" x14ac:dyDescent="0.3">
      <c r="P1078" s="70"/>
    </row>
    <row r="1079" spans="16:16" x14ac:dyDescent="0.3">
      <c r="P1079" s="70"/>
    </row>
    <row r="1080" spans="16:16" x14ac:dyDescent="0.3">
      <c r="P1080" s="70"/>
    </row>
    <row r="1081" spans="16:16" x14ac:dyDescent="0.3">
      <c r="P1081" s="70"/>
    </row>
    <row r="1082" spans="16:16" x14ac:dyDescent="0.3">
      <c r="P1082" s="70"/>
    </row>
    <row r="1083" spans="16:16" x14ac:dyDescent="0.3">
      <c r="P1083" s="70"/>
    </row>
    <row r="1084" spans="16:16" x14ac:dyDescent="0.3">
      <c r="P1084" s="70"/>
    </row>
    <row r="1085" spans="16:16" x14ac:dyDescent="0.3">
      <c r="P1085" s="70"/>
    </row>
    <row r="1086" spans="16:16" x14ac:dyDescent="0.3">
      <c r="P1086" s="70"/>
    </row>
    <row r="1087" spans="16:16" x14ac:dyDescent="0.3">
      <c r="P1087" s="70"/>
    </row>
    <row r="1088" spans="16:16" x14ac:dyDescent="0.3">
      <c r="P1088" s="70"/>
    </row>
    <row r="1089" spans="16:16" x14ac:dyDescent="0.3">
      <c r="P1089" s="70"/>
    </row>
    <row r="1090" spans="16:16" x14ac:dyDescent="0.3">
      <c r="P1090" s="70"/>
    </row>
    <row r="1091" spans="16:16" x14ac:dyDescent="0.3">
      <c r="P1091" s="70"/>
    </row>
    <row r="1092" spans="16:16" x14ac:dyDescent="0.3">
      <c r="P1092" s="70"/>
    </row>
    <row r="1093" spans="16:16" x14ac:dyDescent="0.3">
      <c r="P1093" s="70"/>
    </row>
    <row r="1094" spans="16:16" x14ac:dyDescent="0.3">
      <c r="P1094" s="70"/>
    </row>
    <row r="1095" spans="16:16" x14ac:dyDescent="0.3">
      <c r="P1095" s="70"/>
    </row>
    <row r="1096" spans="16:16" x14ac:dyDescent="0.3">
      <c r="P1096" s="70"/>
    </row>
    <row r="1097" spans="16:16" x14ac:dyDescent="0.3">
      <c r="P1097" s="70"/>
    </row>
    <row r="1098" spans="16:16" x14ac:dyDescent="0.3">
      <c r="P1098" s="70"/>
    </row>
    <row r="1099" spans="16:16" x14ac:dyDescent="0.3">
      <c r="P1099" s="70"/>
    </row>
    <row r="1100" spans="16:16" x14ac:dyDescent="0.3">
      <c r="P1100" s="70"/>
    </row>
    <row r="1101" spans="16:16" x14ac:dyDescent="0.3">
      <c r="P1101" s="70"/>
    </row>
    <row r="1102" spans="16:16" x14ac:dyDescent="0.3">
      <c r="P1102" s="70"/>
    </row>
    <row r="1103" spans="16:16" x14ac:dyDescent="0.3">
      <c r="P1103" s="70"/>
    </row>
    <row r="1104" spans="16:16" x14ac:dyDescent="0.3">
      <c r="P1104" s="70"/>
    </row>
    <row r="1105" spans="16:16" x14ac:dyDescent="0.3">
      <c r="P1105" s="70"/>
    </row>
    <row r="1106" spans="16:16" x14ac:dyDescent="0.3">
      <c r="P1106" s="70"/>
    </row>
    <row r="1107" spans="16:16" x14ac:dyDescent="0.3">
      <c r="P1107" s="70"/>
    </row>
    <row r="1108" spans="16:16" x14ac:dyDescent="0.3">
      <c r="P1108" s="70"/>
    </row>
    <row r="1109" spans="16:16" x14ac:dyDescent="0.3">
      <c r="P1109" s="70"/>
    </row>
    <row r="1110" spans="16:16" x14ac:dyDescent="0.3">
      <c r="P1110" s="70"/>
    </row>
    <row r="1111" spans="16:16" x14ac:dyDescent="0.3">
      <c r="P1111" s="70"/>
    </row>
    <row r="1112" spans="16:16" x14ac:dyDescent="0.3">
      <c r="P1112" s="70"/>
    </row>
    <row r="1113" spans="16:16" x14ac:dyDescent="0.3">
      <c r="P1113" s="70"/>
    </row>
    <row r="1114" spans="16:16" x14ac:dyDescent="0.3">
      <c r="P1114" s="70"/>
    </row>
    <row r="1115" spans="16:16" x14ac:dyDescent="0.3">
      <c r="P1115" s="70"/>
    </row>
    <row r="1116" spans="16:16" x14ac:dyDescent="0.3">
      <c r="P1116" s="70"/>
    </row>
    <row r="1117" spans="16:16" x14ac:dyDescent="0.3">
      <c r="P1117" s="70"/>
    </row>
    <row r="1118" spans="16:16" x14ac:dyDescent="0.3">
      <c r="P1118" s="70"/>
    </row>
    <row r="1119" spans="16:16" x14ac:dyDescent="0.3">
      <c r="P1119" s="70"/>
    </row>
    <row r="1120" spans="16:16" x14ac:dyDescent="0.3">
      <c r="P1120" s="70"/>
    </row>
    <row r="1121" spans="16:16" x14ac:dyDescent="0.3">
      <c r="P1121" s="70"/>
    </row>
    <row r="1122" spans="16:16" x14ac:dyDescent="0.3">
      <c r="P1122" s="70"/>
    </row>
    <row r="1123" spans="16:16" x14ac:dyDescent="0.3">
      <c r="P1123" s="70"/>
    </row>
    <row r="1124" spans="16:16" x14ac:dyDescent="0.3">
      <c r="P1124" s="70"/>
    </row>
    <row r="1125" spans="16:16" x14ac:dyDescent="0.3">
      <c r="P1125" s="70"/>
    </row>
    <row r="1126" spans="16:16" x14ac:dyDescent="0.3">
      <c r="P1126" s="70"/>
    </row>
    <row r="1127" spans="16:16" x14ac:dyDescent="0.3">
      <c r="P1127" s="70"/>
    </row>
    <row r="1128" spans="16:16" x14ac:dyDescent="0.3">
      <c r="P1128" s="70"/>
    </row>
    <row r="1129" spans="16:16" x14ac:dyDescent="0.3">
      <c r="P1129" s="70"/>
    </row>
    <row r="1130" spans="16:16" x14ac:dyDescent="0.3">
      <c r="P1130" s="70"/>
    </row>
    <row r="1131" spans="16:16" x14ac:dyDescent="0.3">
      <c r="P1131" s="70"/>
    </row>
    <row r="1132" spans="16:16" x14ac:dyDescent="0.3">
      <c r="P1132" s="70"/>
    </row>
    <row r="1133" spans="16:16" x14ac:dyDescent="0.3">
      <c r="P1133" s="70"/>
    </row>
    <row r="1134" spans="16:16" x14ac:dyDescent="0.3">
      <c r="P1134" s="70"/>
    </row>
    <row r="1135" spans="16:16" x14ac:dyDescent="0.3">
      <c r="P1135" s="70"/>
    </row>
    <row r="1136" spans="16:16" x14ac:dyDescent="0.3">
      <c r="P1136" s="70"/>
    </row>
    <row r="1137" spans="16:16" x14ac:dyDescent="0.3">
      <c r="P1137" s="70"/>
    </row>
    <row r="1138" spans="16:16" x14ac:dyDescent="0.3">
      <c r="P1138" s="70"/>
    </row>
    <row r="1139" spans="16:16" x14ac:dyDescent="0.3">
      <c r="P1139" s="70"/>
    </row>
    <row r="1140" spans="16:16" x14ac:dyDescent="0.3">
      <c r="P1140" s="70"/>
    </row>
    <row r="1141" spans="16:16" x14ac:dyDescent="0.3">
      <c r="P1141" s="70"/>
    </row>
    <row r="1142" spans="16:16" x14ac:dyDescent="0.3">
      <c r="P1142" s="70"/>
    </row>
    <row r="1143" spans="16:16" x14ac:dyDescent="0.3">
      <c r="P1143" s="70"/>
    </row>
    <row r="1144" spans="16:16" x14ac:dyDescent="0.3">
      <c r="P1144" s="70"/>
    </row>
    <row r="1145" spans="16:16" x14ac:dyDescent="0.3">
      <c r="P1145" s="70"/>
    </row>
    <row r="1146" spans="16:16" x14ac:dyDescent="0.3">
      <c r="P1146" s="70"/>
    </row>
    <row r="1147" spans="16:16" x14ac:dyDescent="0.3">
      <c r="P1147" s="70"/>
    </row>
    <row r="1148" spans="16:16" x14ac:dyDescent="0.3">
      <c r="P1148" s="70"/>
    </row>
    <row r="1149" spans="16:16" x14ac:dyDescent="0.3">
      <c r="P1149" s="70"/>
    </row>
    <row r="1150" spans="16:16" x14ac:dyDescent="0.3">
      <c r="P1150" s="70"/>
    </row>
    <row r="1151" spans="16:16" x14ac:dyDescent="0.3">
      <c r="P1151" s="70"/>
    </row>
    <row r="1152" spans="16:16" x14ac:dyDescent="0.3">
      <c r="P1152" s="70"/>
    </row>
    <row r="1153" spans="16:16" x14ac:dyDescent="0.3">
      <c r="P1153" s="70"/>
    </row>
    <row r="1154" spans="16:16" x14ac:dyDescent="0.3">
      <c r="P1154" s="70"/>
    </row>
    <row r="1155" spans="16:16" x14ac:dyDescent="0.3">
      <c r="P1155" s="70"/>
    </row>
    <row r="1156" spans="16:16" x14ac:dyDescent="0.3">
      <c r="P1156" s="70"/>
    </row>
    <row r="1157" spans="16:16" x14ac:dyDescent="0.3">
      <c r="P1157" s="70"/>
    </row>
    <row r="1158" spans="16:16" x14ac:dyDescent="0.3">
      <c r="P1158" s="70"/>
    </row>
    <row r="1159" spans="16:16" x14ac:dyDescent="0.3">
      <c r="P1159" s="70"/>
    </row>
    <row r="1160" spans="16:16" x14ac:dyDescent="0.3">
      <c r="P1160" s="70"/>
    </row>
    <row r="1161" spans="16:16" x14ac:dyDescent="0.3">
      <c r="P1161" s="70"/>
    </row>
    <row r="1162" spans="16:16" x14ac:dyDescent="0.3">
      <c r="P1162" s="70"/>
    </row>
    <row r="1163" spans="16:16" x14ac:dyDescent="0.3">
      <c r="P1163" s="70"/>
    </row>
    <row r="1164" spans="16:16" x14ac:dyDescent="0.3">
      <c r="P1164" s="70"/>
    </row>
    <row r="1165" spans="16:16" x14ac:dyDescent="0.3">
      <c r="P1165" s="70"/>
    </row>
    <row r="1166" spans="16:16" x14ac:dyDescent="0.3">
      <c r="P1166" s="70"/>
    </row>
    <row r="1167" spans="16:16" x14ac:dyDescent="0.3">
      <c r="P1167" s="70"/>
    </row>
    <row r="1168" spans="16:16" x14ac:dyDescent="0.3">
      <c r="P1168" s="70"/>
    </row>
    <row r="1169" spans="16:16" x14ac:dyDescent="0.3">
      <c r="P1169" s="70"/>
    </row>
    <row r="1170" spans="16:16" x14ac:dyDescent="0.3">
      <c r="P1170" s="70"/>
    </row>
    <row r="1171" spans="16:16" x14ac:dyDescent="0.3">
      <c r="P1171" s="70"/>
    </row>
    <row r="1172" spans="16:16" x14ac:dyDescent="0.3">
      <c r="P1172" s="70"/>
    </row>
    <row r="1173" spans="16:16" x14ac:dyDescent="0.3">
      <c r="P1173" s="70"/>
    </row>
    <row r="1174" spans="16:16" x14ac:dyDescent="0.3">
      <c r="P1174" s="70"/>
    </row>
    <row r="1175" spans="16:16" x14ac:dyDescent="0.3">
      <c r="P1175" s="70"/>
    </row>
    <row r="1176" spans="16:16" x14ac:dyDescent="0.3">
      <c r="P1176" s="70"/>
    </row>
    <row r="1177" spans="16:16" x14ac:dyDescent="0.3">
      <c r="P1177" s="70"/>
    </row>
    <row r="1178" spans="16:16" x14ac:dyDescent="0.3">
      <c r="P1178" s="70"/>
    </row>
    <row r="1179" spans="16:16" x14ac:dyDescent="0.3">
      <c r="P1179" s="70"/>
    </row>
    <row r="1180" spans="16:16" x14ac:dyDescent="0.3">
      <c r="P1180" s="70"/>
    </row>
    <row r="1181" spans="16:16" x14ac:dyDescent="0.3">
      <c r="P1181" s="70"/>
    </row>
    <row r="1182" spans="16:16" x14ac:dyDescent="0.3">
      <c r="P1182" s="70"/>
    </row>
    <row r="1183" spans="16:16" x14ac:dyDescent="0.3">
      <c r="P1183" s="70"/>
    </row>
    <row r="1184" spans="16:16" x14ac:dyDescent="0.3">
      <c r="P1184" s="70"/>
    </row>
    <row r="1185" spans="16:16" x14ac:dyDescent="0.3">
      <c r="P1185" s="70"/>
    </row>
    <row r="1186" spans="16:16" x14ac:dyDescent="0.3">
      <c r="P1186" s="70"/>
    </row>
    <row r="1187" spans="16:16" x14ac:dyDescent="0.3">
      <c r="P1187" s="70"/>
    </row>
    <row r="1188" spans="16:16" x14ac:dyDescent="0.3">
      <c r="P1188" s="70"/>
    </row>
    <row r="1189" spans="16:16" x14ac:dyDescent="0.3">
      <c r="P1189" s="70"/>
    </row>
    <row r="1190" spans="16:16" x14ac:dyDescent="0.3">
      <c r="P1190" s="70"/>
    </row>
    <row r="1191" spans="16:16" x14ac:dyDescent="0.3">
      <c r="P1191" s="70"/>
    </row>
    <row r="1192" spans="16:16" x14ac:dyDescent="0.3">
      <c r="P1192" s="70"/>
    </row>
  </sheetData>
  <autoFilter ref="A7:AR591" xr:uid="{00000000-0001-0000-0000-000000000000}">
    <filterColumn colId="3">
      <filters>
        <filter val="AV MONTEVERDE Y URIBURU"/>
        <filter val="AV. MONTEVERDE Y MORAN"/>
        <filter val="Contreras y Monteagudo"/>
        <filter val="Darragueira y Monteverde"/>
        <filter val="Diagonal Granaderos y Monteagudo"/>
        <filter val="EVA PERON Y MONTEVIDEO"/>
        <filter val="FLORIDA Y MONTEVIDEO"/>
        <filter val="Hudson y Montevideo"/>
        <filter val="Mainini e/Montevideo y Uruuay"/>
        <filter val="Mainini y Montevideo"/>
        <filter val="Mitre e/Monteagudo y Alberdi"/>
        <filter val="Monteagudo e/ Mitre y Boccuzzi"/>
        <filter val="Monteagudo e/Mitre y Sallares"/>
        <filter val="Monteagudo y A.del Valle"/>
        <filter val="Monteagudo y Alem"/>
        <filter val="Monteagudo y Almafuerte"/>
        <filter val="Monteagudo y Bocuzzi"/>
        <filter val="Monteagudo y Marmol"/>
        <filter val="Monteagudo y Mitre"/>
        <filter val="Monteagudo y Pte. Peron"/>
        <filter val="MONTES DE OCA Y ALVARADO"/>
        <filter val="MONTES Y LONARDI"/>
        <filter val="Monteverde y Azara"/>
        <filter val="Monteverde y Donato Alvarez"/>
        <filter val="MONTEVERDE Y EL INDIO"/>
        <filter val="MONTEVERDE Y URIBURU"/>
        <filter val="MONTEVERDE Y WASHINGTON"/>
        <filter val="Montevideo y Alsina"/>
        <filter val="MONTEVIDEO Y CHACO"/>
        <filter val="Montevideo y El Chañar"/>
        <filter val="MONTEVIDEO Y VILLEGAS"/>
        <filter val="Necochea y Montes de Oca"/>
        <filter val="PLAZA LOMAS DE MONTEVERDE"/>
        <filter val="Sallares y Monteagudo"/>
        <filter val="San Martin y Monteverde"/>
        <filter val="VICTORINO DE LA PLAZA Y MONTEVERDE"/>
      </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</cols>
  <sheetData>
    <row r="1" spans="1:36 16379:16379" ht="18" x14ac:dyDescent="0.35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4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6" thickBot="1" x14ac:dyDescent="0.45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19.2" thickTop="1" thickBot="1" x14ac:dyDescent="0.4">
      <c r="A4" t="str">
        <f>'RESUMEN TOTAL'!A7</f>
        <v>Barrio</v>
      </c>
      <c r="B4" s="30" t="str">
        <f>'RESUMEN TOTAL'!B7</f>
        <v>rot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3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3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3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3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3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3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3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3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3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3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3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3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3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3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3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3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3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3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3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3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3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3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3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3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3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3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3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3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3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3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3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3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3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3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3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3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3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3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3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3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3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3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3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3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3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3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3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3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3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3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3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3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3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3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3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3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3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3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3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3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3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3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3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3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3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3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3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3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3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3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3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3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3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3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3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3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3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3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3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3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3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3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3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3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3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3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3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3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3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3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3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3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3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3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3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3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3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3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3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3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3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3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3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3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3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3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3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3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3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3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3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3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3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3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3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3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3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3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3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3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3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3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3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3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3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3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3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3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3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3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3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3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3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3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3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3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3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3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3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3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3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3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3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3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3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3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3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3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3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3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3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3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3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3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3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3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3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3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3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3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3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3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3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3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3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3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3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3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3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3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3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3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3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3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3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3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3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3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3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3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3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3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3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3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3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3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3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3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3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3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3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3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3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3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3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3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3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3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3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3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3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3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3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3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3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3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3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3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3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3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3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3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3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3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3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3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3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3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3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3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3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3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3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3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3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3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3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3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3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3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3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3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3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3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3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3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3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3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3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3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3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3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3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3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3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3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3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3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3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3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3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3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3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3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3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3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3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3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3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3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3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3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3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3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3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3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3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3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3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3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3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3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3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3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3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3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3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3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3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3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3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3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3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3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3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3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3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3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3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3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3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3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3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3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3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3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3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3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3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3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3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3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3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3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3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3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3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3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3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3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3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3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3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3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3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3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3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3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3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3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3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3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3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3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3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3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3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3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3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3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3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3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3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3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3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3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3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3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3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3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3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3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3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3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3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3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3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3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3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3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3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3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3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3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3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3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3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3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3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3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3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3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3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3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3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3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3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3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3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3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3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3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3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3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3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3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3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3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3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3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3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3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3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3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3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3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3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3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3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3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3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3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3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3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3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3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3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3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3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3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3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3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3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3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3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3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3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3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3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3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3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3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3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3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3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3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3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3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3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3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3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3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3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3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3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3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3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3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3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3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3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3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3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3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3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3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3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3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3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3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3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3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3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3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3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3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3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3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3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3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3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3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3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3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3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3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3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3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3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3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3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3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3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3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3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3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3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3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3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3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3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3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3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3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3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3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3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3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3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3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3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3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3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3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3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3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3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3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3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3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3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3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3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3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3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3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3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3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3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3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3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3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3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3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3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3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3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3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3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3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3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3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3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3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3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3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3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3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3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3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3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3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3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3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3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3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3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3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3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3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3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U5" sqref="U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1" width="8" bestFit="1" customWidth="1"/>
    <col min="32" max="32" width="9.44140625" bestFit="1" customWidth="1"/>
    <col min="33" max="36" width="8" customWidth="1"/>
  </cols>
  <sheetData>
    <row r="1" spans="1:36" ht="15.6" thickTop="1" thickBot="1" x14ac:dyDescent="0.35">
      <c r="A1" s="40"/>
      <c r="B1" s="44" t="s">
        <v>1065</v>
      </c>
      <c r="C1" s="36">
        <v>45992</v>
      </c>
    </row>
    <row r="2" spans="1:36" ht="15.6" thickTop="1" thickBot="1" x14ac:dyDescent="0.35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5.6" thickTop="1" thickBot="1" x14ac:dyDescent="0.35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5.6" thickTop="1" thickBot="1" x14ac:dyDescent="0.35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5.6" thickTop="1" thickBot="1" x14ac:dyDescent="0.35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81" zoomScaleNormal="100" workbookViewId="0">
      <selection activeCell="C194" sqref="C194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3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3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3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3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3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" thickBot="1" x14ac:dyDescent="0.35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5.6" thickTop="1" thickBot="1" x14ac:dyDescent="0.35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5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" thickBot="1" x14ac:dyDescent="0.35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3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3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3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3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3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" thickBot="1" x14ac:dyDescent="0.35">
      <c r="B18" s="56"/>
      <c r="C18" s="130"/>
      <c r="D18" s="103">
        <v>0</v>
      </c>
      <c r="E18" s="74">
        <f>D18/C13</f>
        <v>0</v>
      </c>
      <c r="F18" s="156"/>
    </row>
    <row r="19" spans="1:6" ht="15.6" thickTop="1" thickBot="1" x14ac:dyDescent="0.35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5.6" thickTop="1" thickBot="1" x14ac:dyDescent="0.35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" thickBot="1" x14ac:dyDescent="0.35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6" t="s">
        <v>907</v>
      </c>
      <c r="D23" s="107" t="s">
        <v>1457</v>
      </c>
      <c r="E23" s="108" t="s">
        <v>908</v>
      </c>
    </row>
    <row r="24" spans="1:6" ht="15" thickTop="1" x14ac:dyDescent="0.3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3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3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3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3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" thickBot="1" x14ac:dyDescent="0.35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5.6" thickTop="1" thickBot="1" x14ac:dyDescent="0.35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5.6" thickTop="1" thickBot="1" x14ac:dyDescent="0.35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" thickBot="1" x14ac:dyDescent="0.35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5.6" thickTop="1" thickBot="1" x14ac:dyDescent="0.35"/>
    <row r="34" spans="1:6" ht="15.6" thickTop="1" thickBot="1" x14ac:dyDescent="0.35">
      <c r="C34" s="106" t="s">
        <v>907</v>
      </c>
      <c r="D34" s="107" t="s">
        <v>1457</v>
      </c>
      <c r="E34" s="108" t="s">
        <v>908</v>
      </c>
    </row>
    <row r="35" spans="1:6" ht="15" thickTop="1" x14ac:dyDescent="0.3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3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3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3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3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" thickBot="1" x14ac:dyDescent="0.35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5.6" thickTop="1" thickBot="1" x14ac:dyDescent="0.35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5.6" thickTop="1" thickBot="1" x14ac:dyDescent="0.35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" thickBot="1" x14ac:dyDescent="0.35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5.6" thickTop="1" thickBot="1" x14ac:dyDescent="0.35"/>
    <row r="45" spans="1:6" ht="15.6" thickTop="1" thickBot="1" x14ac:dyDescent="0.35">
      <c r="C45" s="106" t="s">
        <v>907</v>
      </c>
      <c r="D45" s="107" t="s">
        <v>1457</v>
      </c>
      <c r="E45" s="108" t="s">
        <v>908</v>
      </c>
    </row>
    <row r="46" spans="1:6" ht="15" thickTop="1" x14ac:dyDescent="0.3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3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3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3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3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" thickBot="1" x14ac:dyDescent="0.35">
      <c r="B51" s="56"/>
      <c r="C51" s="130"/>
      <c r="D51" s="103">
        <v>0</v>
      </c>
      <c r="E51" s="74">
        <f>D51/C46</f>
        <v>0</v>
      </c>
      <c r="F51" s="156"/>
    </row>
    <row r="52" spans="1:6" ht="15.6" thickTop="1" thickBot="1" x14ac:dyDescent="0.35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5.6" thickTop="1" thickBot="1" x14ac:dyDescent="0.35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" thickBot="1" x14ac:dyDescent="0.35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5.6" thickTop="1" thickBot="1" x14ac:dyDescent="0.35"/>
    <row r="56" spans="1:6" ht="15.6" thickTop="1" thickBot="1" x14ac:dyDescent="0.35">
      <c r="C56" s="106" t="s">
        <v>907</v>
      </c>
      <c r="D56" s="107" t="s">
        <v>1457</v>
      </c>
      <c r="E56" s="108" t="s">
        <v>908</v>
      </c>
    </row>
    <row r="57" spans="1:6" ht="15" thickTop="1" x14ac:dyDescent="0.3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3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3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3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3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" thickBot="1" x14ac:dyDescent="0.35">
      <c r="B62" s="56"/>
      <c r="C62" s="130"/>
      <c r="D62" s="103"/>
      <c r="E62" s="74">
        <f>D62/C57</f>
        <v>0</v>
      </c>
      <c r="F62" s="156"/>
    </row>
    <row r="63" spans="1:6" ht="15.6" thickTop="1" thickBot="1" x14ac:dyDescent="0.35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5.6" thickTop="1" thickBot="1" x14ac:dyDescent="0.35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" thickBot="1" x14ac:dyDescent="0.35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5.6" thickTop="1" thickBot="1" x14ac:dyDescent="0.35"/>
    <row r="67" spans="1:6" ht="15.6" thickTop="1" thickBot="1" x14ac:dyDescent="0.35">
      <c r="C67" s="106" t="s">
        <v>907</v>
      </c>
      <c r="D67" s="107" t="s">
        <v>1457</v>
      </c>
      <c r="E67" s="108" t="s">
        <v>908</v>
      </c>
    </row>
    <row r="68" spans="1:6" ht="15" thickTop="1" x14ac:dyDescent="0.3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3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3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3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3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" thickBot="1" x14ac:dyDescent="0.35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5.6" thickTop="1" thickBot="1" x14ac:dyDescent="0.35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5.6" thickTop="1" thickBot="1" x14ac:dyDescent="0.35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" thickBot="1" x14ac:dyDescent="0.35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5.6" thickTop="1" thickBot="1" x14ac:dyDescent="0.35"/>
    <row r="78" spans="1:6" ht="15.6" thickTop="1" thickBot="1" x14ac:dyDescent="0.35">
      <c r="C78" s="106" t="s">
        <v>907</v>
      </c>
      <c r="D78" s="107" t="s">
        <v>1457</v>
      </c>
      <c r="E78" s="108" t="s">
        <v>908</v>
      </c>
    </row>
    <row r="79" spans="1:6" ht="15" thickTop="1" x14ac:dyDescent="0.3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3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3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3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3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" thickBot="1" x14ac:dyDescent="0.35">
      <c r="B84" s="56"/>
      <c r="C84" s="130"/>
      <c r="D84" s="103">
        <v>0</v>
      </c>
      <c r="E84" s="74">
        <f>D84/C79</f>
        <v>0</v>
      </c>
      <c r="F84" s="156"/>
    </row>
    <row r="85" spans="1:6" ht="15.6" thickTop="1" thickBot="1" x14ac:dyDescent="0.35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5.6" thickTop="1" thickBot="1" x14ac:dyDescent="0.35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" thickBot="1" x14ac:dyDescent="0.35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5.6" thickTop="1" thickBot="1" x14ac:dyDescent="0.35"/>
    <row r="89" spans="1:6" ht="15.6" thickTop="1" thickBot="1" x14ac:dyDescent="0.35">
      <c r="C89" s="106" t="s">
        <v>907</v>
      </c>
      <c r="D89" s="107" t="s">
        <v>1457</v>
      </c>
      <c r="E89" s="108" t="s">
        <v>908</v>
      </c>
    </row>
    <row r="90" spans="1:6" ht="15" thickTop="1" x14ac:dyDescent="0.3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3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3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3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3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" thickBot="1" x14ac:dyDescent="0.35">
      <c r="B95" s="56"/>
      <c r="C95" s="130"/>
      <c r="D95" s="103"/>
      <c r="E95" s="74">
        <f>D95/C90</f>
        <v>0</v>
      </c>
      <c r="F95" s="156"/>
    </row>
    <row r="96" spans="1:6" ht="15.6" thickTop="1" thickBot="1" x14ac:dyDescent="0.35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5.6" thickTop="1" thickBot="1" x14ac:dyDescent="0.35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" thickBot="1" x14ac:dyDescent="0.35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5.6" thickTop="1" thickBot="1" x14ac:dyDescent="0.35"/>
    <row r="100" spans="1:6" ht="15.6" thickTop="1" thickBot="1" x14ac:dyDescent="0.35">
      <c r="C100" s="106" t="s">
        <v>907</v>
      </c>
      <c r="D100" s="107" t="s">
        <v>1457</v>
      </c>
      <c r="E100" s="108" t="s">
        <v>908</v>
      </c>
    </row>
    <row r="101" spans="1:6" ht="15" thickTop="1" x14ac:dyDescent="0.3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3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3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3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3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" thickBot="1" x14ac:dyDescent="0.35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5.6" thickTop="1" thickBot="1" x14ac:dyDescent="0.35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5.6" thickTop="1" thickBot="1" x14ac:dyDescent="0.35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" thickBot="1" x14ac:dyDescent="0.35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5.6" thickTop="1" thickBot="1" x14ac:dyDescent="0.35"/>
    <row r="111" spans="1:6" ht="15.6" thickTop="1" thickBot="1" x14ac:dyDescent="0.35">
      <c r="C111" s="106" t="s">
        <v>907</v>
      </c>
      <c r="D111" s="107" t="s">
        <v>1457</v>
      </c>
      <c r="E111" s="108" t="s">
        <v>908</v>
      </c>
    </row>
    <row r="112" spans="1:6" ht="15" thickTop="1" x14ac:dyDescent="0.3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3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3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3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3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" thickBot="1" x14ac:dyDescent="0.35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5.6" thickTop="1" thickBot="1" x14ac:dyDescent="0.35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5.6" thickTop="1" thickBot="1" x14ac:dyDescent="0.35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" thickBot="1" x14ac:dyDescent="0.35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5.6" thickTop="1" thickBot="1" x14ac:dyDescent="0.35"/>
    <row r="122" spans="2:6" ht="15.6" thickTop="1" thickBot="1" x14ac:dyDescent="0.35">
      <c r="C122" s="106" t="s">
        <v>907</v>
      </c>
      <c r="D122" s="107" t="s">
        <v>1457</v>
      </c>
      <c r="E122" s="108" t="s">
        <v>908</v>
      </c>
    </row>
    <row r="123" spans="2:6" ht="15" thickTop="1" x14ac:dyDescent="0.3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3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3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3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3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" thickBot="1" x14ac:dyDescent="0.35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5.6" thickTop="1" thickBot="1" x14ac:dyDescent="0.35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5.6" thickTop="1" thickBot="1" x14ac:dyDescent="0.35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" thickBot="1" x14ac:dyDescent="0.35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5.6" thickTop="1" thickBot="1" x14ac:dyDescent="0.35"/>
    <row r="133" spans="2:6" ht="15.6" thickTop="1" thickBot="1" x14ac:dyDescent="0.35">
      <c r="C133" s="106" t="s">
        <v>907</v>
      </c>
      <c r="D133" s="107" t="s">
        <v>1457</v>
      </c>
      <c r="E133" s="108" t="s">
        <v>908</v>
      </c>
    </row>
    <row r="134" spans="2:6" ht="15" thickTop="1" x14ac:dyDescent="0.3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3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3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3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3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" thickBot="1" x14ac:dyDescent="0.35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5.6" thickTop="1" thickBot="1" x14ac:dyDescent="0.35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5.6" thickTop="1" thickBot="1" x14ac:dyDescent="0.35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" thickBot="1" x14ac:dyDescent="0.35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5.6" thickTop="1" thickBot="1" x14ac:dyDescent="0.35"/>
    <row r="144" spans="2:6" ht="15.6" thickTop="1" thickBot="1" x14ac:dyDescent="0.35">
      <c r="C144" s="106" t="s">
        <v>907</v>
      </c>
      <c r="D144" s="107" t="s">
        <v>1457</v>
      </c>
      <c r="E144" s="108" t="s">
        <v>908</v>
      </c>
    </row>
    <row r="145" spans="2:6" ht="15" thickTop="1" x14ac:dyDescent="0.3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3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3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3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3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" thickBot="1" x14ac:dyDescent="0.35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5.6" thickTop="1" thickBot="1" x14ac:dyDescent="0.35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5.6" thickTop="1" thickBot="1" x14ac:dyDescent="0.35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" thickBot="1" x14ac:dyDescent="0.35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5"/>
    <row r="155" spans="2:6" ht="15.6" thickTop="1" thickBot="1" x14ac:dyDescent="0.35">
      <c r="C155" s="106" t="s">
        <v>907</v>
      </c>
      <c r="D155" s="107" t="s">
        <v>1457</v>
      </c>
      <c r="E155" s="108" t="s">
        <v>908</v>
      </c>
    </row>
    <row r="156" spans="2:6" ht="15" thickTop="1" x14ac:dyDescent="0.3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3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3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3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3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" thickBot="1" x14ac:dyDescent="0.35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5.6" thickTop="1" thickBot="1" x14ac:dyDescent="0.35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5.6" thickTop="1" thickBot="1" x14ac:dyDescent="0.35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" thickBot="1" x14ac:dyDescent="0.35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5.6" thickTop="1" thickBot="1" x14ac:dyDescent="0.35"/>
    <row r="166" spans="2:6" ht="15.6" thickTop="1" thickBot="1" x14ac:dyDescent="0.35">
      <c r="C166" s="106" t="s">
        <v>907</v>
      </c>
      <c r="D166" s="107" t="s">
        <v>1457</v>
      </c>
      <c r="E166" s="108" t="s">
        <v>908</v>
      </c>
    </row>
    <row r="167" spans="2:6" ht="15" thickTop="1" x14ac:dyDescent="0.3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3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3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3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3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" thickBot="1" x14ac:dyDescent="0.35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5.6" thickTop="1" thickBot="1" x14ac:dyDescent="0.35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5.6" thickTop="1" thickBot="1" x14ac:dyDescent="0.35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" thickBot="1" x14ac:dyDescent="0.35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5.6" thickTop="1" thickBot="1" x14ac:dyDescent="0.35"/>
    <row r="177" spans="2:6" ht="15.6" thickTop="1" thickBot="1" x14ac:dyDescent="0.35">
      <c r="C177" s="106" t="s">
        <v>907</v>
      </c>
      <c r="D177" s="107" t="s">
        <v>1457</v>
      </c>
      <c r="E177" s="108" t="s">
        <v>908</v>
      </c>
    </row>
    <row r="178" spans="2:6" ht="15" thickTop="1" x14ac:dyDescent="0.3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3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3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3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3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" thickBot="1" x14ac:dyDescent="0.35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5.6" thickTop="1" thickBot="1" x14ac:dyDescent="0.35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5.6" thickTop="1" thickBot="1" x14ac:dyDescent="0.35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" thickBot="1" x14ac:dyDescent="0.35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5.6" thickTop="1" thickBot="1" x14ac:dyDescent="0.35"/>
    <row r="188" spans="2:6" ht="15.6" thickTop="1" thickBot="1" x14ac:dyDescent="0.35">
      <c r="C188" s="106" t="s">
        <v>907</v>
      </c>
      <c r="D188" s="107" t="s">
        <v>1457</v>
      </c>
      <c r="E188" s="108" t="s">
        <v>908</v>
      </c>
    </row>
    <row r="189" spans="2:6" ht="15" thickTop="1" x14ac:dyDescent="0.3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3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3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3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3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" thickBot="1" x14ac:dyDescent="0.35">
      <c r="B194" s="56"/>
      <c r="C194" s="130">
        <v>0</v>
      </c>
      <c r="D194" s="103"/>
      <c r="E194" s="74">
        <f>D194/C189</f>
        <v>0</v>
      </c>
      <c r="F194" s="156"/>
    </row>
    <row r="195" spans="2:6" ht="15.6" thickTop="1" thickBot="1" x14ac:dyDescent="0.35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5.6" thickTop="1" thickBot="1" x14ac:dyDescent="0.35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" thickBot="1" x14ac:dyDescent="0.35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5.6" thickTop="1" thickBot="1" x14ac:dyDescent="0.35"/>
    <row r="199" spans="2:6" ht="15.6" thickTop="1" thickBot="1" x14ac:dyDescent="0.35">
      <c r="C199" s="106" t="s">
        <v>907</v>
      </c>
      <c r="D199" s="107" t="s">
        <v>1457</v>
      </c>
      <c r="E199" s="108" t="s">
        <v>908</v>
      </c>
    </row>
    <row r="200" spans="2:6" ht="15" thickTop="1" x14ac:dyDescent="0.3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3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6"/>
    </row>
    <row r="202" spans="2:6" x14ac:dyDescent="0.3">
      <c r="B202" s="53" t="s">
        <v>1238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3">
      <c r="B203" s="53" t="s">
        <v>1239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3">
      <c r="B204" s="53" t="s">
        <v>15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" thickBot="1" x14ac:dyDescent="0.35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5.6" thickTop="1" thickBot="1" x14ac:dyDescent="0.35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5.6" thickTop="1" thickBot="1" x14ac:dyDescent="0.35">
      <c r="B207" s="97" t="s">
        <v>1057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" thickBot="1" x14ac:dyDescent="0.35">
      <c r="B208" s="111" t="s">
        <v>1058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5.6" thickTop="1" thickBot="1" x14ac:dyDescent="0.35"/>
    <row r="210" spans="2:6" ht="15.6" thickTop="1" thickBot="1" x14ac:dyDescent="0.35">
      <c r="C210" s="106" t="s">
        <v>907</v>
      </c>
      <c r="D210" s="107" t="s">
        <v>1457</v>
      </c>
      <c r="E210" s="108" t="s">
        <v>908</v>
      </c>
    </row>
    <row r="211" spans="2:6" ht="15" thickTop="1" x14ac:dyDescent="0.3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3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6"/>
    </row>
    <row r="213" spans="2:6" x14ac:dyDescent="0.3">
      <c r="B213" s="53" t="s">
        <v>1238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3">
      <c r="B214" s="53" t="s">
        <v>1239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3">
      <c r="B215" s="53" t="s">
        <v>15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" thickBot="1" x14ac:dyDescent="0.35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5.6" thickTop="1" thickBot="1" x14ac:dyDescent="0.35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5.6" thickTop="1" thickBot="1" x14ac:dyDescent="0.35">
      <c r="B218" s="97" t="s">
        <v>1057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" thickBot="1" x14ac:dyDescent="0.35">
      <c r="B219" s="111" t="s">
        <v>1058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" thickTop="1" x14ac:dyDescent="0.3"/>
    <row r="221" spans="2:6" ht="15" thickBot="1" x14ac:dyDescent="0.35"/>
    <row r="222" spans="2:6" ht="15.6" thickTop="1" thickBot="1" x14ac:dyDescent="0.35">
      <c r="C222" s="106" t="s">
        <v>907</v>
      </c>
      <c r="D222" s="107" t="s">
        <v>1457</v>
      </c>
      <c r="E222" s="108" t="s">
        <v>908</v>
      </c>
    </row>
    <row r="223" spans="2:6" ht="15" thickTop="1" x14ac:dyDescent="0.3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3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3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3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3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" thickBot="1" x14ac:dyDescent="0.35">
      <c r="B228" s="56"/>
      <c r="C228" s="130">
        <v>0</v>
      </c>
      <c r="D228" s="103">
        <v>0</v>
      </c>
      <c r="E228" s="74">
        <v>0</v>
      </c>
      <c r="F228" s="156"/>
    </row>
    <row r="229" spans="2:6" ht="15.6" thickTop="1" thickBot="1" x14ac:dyDescent="0.35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5.6" thickTop="1" thickBot="1" x14ac:dyDescent="0.35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" thickBot="1" x14ac:dyDescent="0.35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" thickTop="1" x14ac:dyDescent="0.3"/>
    <row r="233" spans="2:6" ht="15" thickBot="1" x14ac:dyDescent="0.35"/>
    <row r="234" spans="2:6" ht="15.6" thickTop="1" thickBot="1" x14ac:dyDescent="0.35">
      <c r="C234" s="106" t="s">
        <v>907</v>
      </c>
      <c r="D234" s="107" t="s">
        <v>1457</v>
      </c>
      <c r="E234" s="108" t="s">
        <v>908</v>
      </c>
    </row>
    <row r="235" spans="2:6" ht="15" thickTop="1" x14ac:dyDescent="0.3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3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3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3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" thickBot="1" x14ac:dyDescent="0.35">
      <c r="B240" s="56"/>
      <c r="C240" s="130">
        <v>0</v>
      </c>
      <c r="D240" s="103">
        <v>0</v>
      </c>
      <c r="E240" s="74">
        <v>0</v>
      </c>
      <c r="F240" s="156"/>
    </row>
    <row r="241" spans="2:6" ht="15.6" thickTop="1" thickBot="1" x14ac:dyDescent="0.35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5.6" thickTop="1" thickBot="1" x14ac:dyDescent="0.35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" thickBot="1" x14ac:dyDescent="0.35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" thickTop="1" x14ac:dyDescent="0.3"/>
    <row r="245" spans="2:6" ht="15" thickBot="1" x14ac:dyDescent="0.35"/>
    <row r="246" spans="2:6" ht="15.6" thickTop="1" thickBot="1" x14ac:dyDescent="0.35">
      <c r="C246" s="106" t="s">
        <v>907</v>
      </c>
      <c r="D246" s="107" t="s">
        <v>1457</v>
      </c>
      <c r="E246" s="108" t="s">
        <v>908</v>
      </c>
    </row>
    <row r="247" spans="2:6" ht="15" thickTop="1" x14ac:dyDescent="0.3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3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3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3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3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" thickBot="1" x14ac:dyDescent="0.35">
      <c r="B252" s="56"/>
      <c r="C252" s="130">
        <v>0</v>
      </c>
      <c r="D252" s="103">
        <v>0</v>
      </c>
      <c r="E252" s="74">
        <v>0</v>
      </c>
      <c r="F252" s="156"/>
    </row>
    <row r="253" spans="2:6" ht="15.6" thickTop="1" thickBot="1" x14ac:dyDescent="0.35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5.6" thickTop="1" thickBot="1" x14ac:dyDescent="0.35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" thickBot="1" x14ac:dyDescent="0.35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" thickTop="1" x14ac:dyDescent="0.3"/>
    <row r="257" spans="2:6" ht="15" thickBot="1" x14ac:dyDescent="0.35"/>
    <row r="258" spans="2:6" ht="15.6" thickTop="1" thickBot="1" x14ac:dyDescent="0.35">
      <c r="C258" s="106" t="s">
        <v>907</v>
      </c>
      <c r="D258" s="107" t="s">
        <v>1457</v>
      </c>
      <c r="E258" s="108" t="s">
        <v>908</v>
      </c>
    </row>
    <row r="259" spans="2:6" ht="15" thickTop="1" x14ac:dyDescent="0.3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3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3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3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3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" thickBot="1" x14ac:dyDescent="0.35">
      <c r="B264" s="56"/>
      <c r="C264" s="130">
        <v>0</v>
      </c>
      <c r="D264" s="103">
        <v>0</v>
      </c>
      <c r="E264" s="74">
        <v>0</v>
      </c>
      <c r="F264" s="156"/>
    </row>
    <row r="265" spans="2:6" ht="15.6" thickTop="1" thickBot="1" x14ac:dyDescent="0.35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5.6" thickTop="1" thickBot="1" x14ac:dyDescent="0.35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" thickBot="1" x14ac:dyDescent="0.35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5.6" thickTop="1" thickBot="1" x14ac:dyDescent="0.35"/>
    <row r="269" spans="2:6" ht="15.6" thickTop="1" thickBot="1" x14ac:dyDescent="0.35">
      <c r="C269" s="106" t="s">
        <v>907</v>
      </c>
      <c r="D269" s="107" t="s">
        <v>1457</v>
      </c>
      <c r="E269" s="108" t="s">
        <v>908</v>
      </c>
    </row>
    <row r="270" spans="2:6" ht="15" thickTop="1" x14ac:dyDescent="0.3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3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3">
      <c r="B272" s="53" t="s">
        <v>1238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3">
      <c r="B273" s="53" t="s">
        <v>1239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3">
      <c r="B274" s="53" t="s">
        <v>15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" thickBot="1" x14ac:dyDescent="0.35">
      <c r="B275" s="56"/>
      <c r="C275" s="130">
        <v>0</v>
      </c>
      <c r="D275" s="103">
        <v>0</v>
      </c>
      <c r="E275" s="74">
        <v>0</v>
      </c>
      <c r="F275" s="156"/>
    </row>
    <row r="276" spans="2:6" ht="15.6" thickTop="1" thickBot="1" x14ac:dyDescent="0.35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5.6" thickTop="1" thickBot="1" x14ac:dyDescent="0.35">
      <c r="B277" s="97" t="s">
        <v>1057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" thickBot="1" x14ac:dyDescent="0.35">
      <c r="B278" s="111" t="s">
        <v>1058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5.6" thickTop="1" thickBot="1" x14ac:dyDescent="0.35"/>
    <row r="280" spans="2:6" ht="15.6" thickTop="1" thickBot="1" x14ac:dyDescent="0.35">
      <c r="C280" s="106" t="s">
        <v>907</v>
      </c>
      <c r="D280" s="107" t="s">
        <v>1457</v>
      </c>
      <c r="E280" s="108" t="s">
        <v>908</v>
      </c>
    </row>
    <row r="281" spans="2:6" ht="15" thickTop="1" x14ac:dyDescent="0.3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3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3">
      <c r="B283" s="53" t="s">
        <v>1238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3">
      <c r="B284" s="53" t="s">
        <v>1239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3">
      <c r="B285" s="53" t="s">
        <v>15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" thickBot="1" x14ac:dyDescent="0.35">
      <c r="B286" s="56"/>
      <c r="C286" s="130">
        <v>0</v>
      </c>
      <c r="D286" s="103">
        <v>0</v>
      </c>
      <c r="E286" s="74">
        <v>0</v>
      </c>
      <c r="F286" s="156"/>
    </row>
    <row r="287" spans="2:6" ht="15.6" thickTop="1" thickBot="1" x14ac:dyDescent="0.35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5.6" thickTop="1" thickBot="1" x14ac:dyDescent="0.35">
      <c r="B288" s="97" t="s">
        <v>1057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" thickBot="1" x14ac:dyDescent="0.35">
      <c r="B289" s="111" t="s">
        <v>1058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5.6" thickTop="1" thickBot="1" x14ac:dyDescent="0.35"/>
    <row r="291" spans="2:6" ht="15.6" thickTop="1" thickBot="1" x14ac:dyDescent="0.35">
      <c r="C291" s="106" t="s">
        <v>907</v>
      </c>
      <c r="D291" s="107" t="s">
        <v>1457</v>
      </c>
      <c r="E291" s="108" t="s">
        <v>908</v>
      </c>
    </row>
    <row r="292" spans="2:6" ht="15" thickTop="1" x14ac:dyDescent="0.3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3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3">
      <c r="B294" s="53" t="s">
        <v>1238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3">
      <c r="B295" s="53" t="s">
        <v>1239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3">
      <c r="B296" s="53" t="s">
        <v>15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" thickBot="1" x14ac:dyDescent="0.35">
      <c r="B297" s="56"/>
      <c r="C297" s="130">
        <v>0</v>
      </c>
      <c r="D297" s="103">
        <v>0</v>
      </c>
      <c r="E297" s="74">
        <v>0</v>
      </c>
      <c r="F297" s="156"/>
    </row>
    <row r="298" spans="2:6" ht="15.6" thickTop="1" thickBot="1" x14ac:dyDescent="0.35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5.6" thickTop="1" thickBot="1" x14ac:dyDescent="0.35">
      <c r="B299" s="97" t="s">
        <v>1057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" thickBot="1" x14ac:dyDescent="0.35">
      <c r="B300" s="111" t="s">
        <v>1058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5.6" thickTop="1" thickBot="1" x14ac:dyDescent="0.35"/>
    <row r="302" spans="2:6" ht="15.6" thickTop="1" thickBot="1" x14ac:dyDescent="0.35">
      <c r="C302" s="106" t="s">
        <v>907</v>
      </c>
      <c r="D302" s="107" t="s">
        <v>1457</v>
      </c>
      <c r="E302" s="108" t="s">
        <v>908</v>
      </c>
    </row>
    <row r="303" spans="2:6" ht="15" thickTop="1" x14ac:dyDescent="0.3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3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3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3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" thickBot="1" x14ac:dyDescent="0.35">
      <c r="B308" s="56"/>
      <c r="C308" s="130">
        <v>0</v>
      </c>
      <c r="D308" s="103">
        <v>0</v>
      </c>
      <c r="E308" s="74">
        <v>0</v>
      </c>
      <c r="F308" s="156"/>
    </row>
    <row r="309" spans="2:6" ht="15.6" thickTop="1" thickBot="1" x14ac:dyDescent="0.35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5.6" thickTop="1" thickBot="1" x14ac:dyDescent="0.35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" thickBot="1" x14ac:dyDescent="0.35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5.6" thickTop="1" thickBot="1" x14ac:dyDescent="0.35"/>
    <row r="313" spans="2:6" ht="15.6" thickTop="1" thickBot="1" x14ac:dyDescent="0.35">
      <c r="C313" s="106" t="s">
        <v>907</v>
      </c>
      <c r="D313" s="107" t="s">
        <v>1457</v>
      </c>
      <c r="E313" s="108" t="s">
        <v>908</v>
      </c>
    </row>
    <row r="314" spans="2:6" ht="15" thickTop="1" x14ac:dyDescent="0.3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3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3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3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" thickBot="1" x14ac:dyDescent="0.35">
      <c r="B319" s="56"/>
      <c r="C319" s="130">
        <v>0</v>
      </c>
      <c r="D319" s="103">
        <v>0</v>
      </c>
      <c r="E319" s="74">
        <v>0</v>
      </c>
      <c r="F319" s="156"/>
    </row>
    <row r="320" spans="2:6" ht="15.6" thickTop="1" thickBot="1" x14ac:dyDescent="0.35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5.6" thickTop="1" thickBot="1" x14ac:dyDescent="0.35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" thickBot="1" x14ac:dyDescent="0.35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5.6" thickTop="1" thickBot="1" x14ac:dyDescent="0.35"/>
    <row r="324" spans="2:6" ht="15.6" thickTop="1" thickBot="1" x14ac:dyDescent="0.35">
      <c r="C324" s="106" t="s">
        <v>907</v>
      </c>
      <c r="D324" s="107" t="s">
        <v>1457</v>
      </c>
      <c r="E324" s="108" t="s">
        <v>908</v>
      </c>
    </row>
    <row r="325" spans="2:6" ht="15" thickTop="1" x14ac:dyDescent="0.3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3">
      <c r="B327" s="53" t="s">
        <v>1238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3">
      <c r="B328" s="53" t="s">
        <v>1239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3">
      <c r="B329" s="53" t="s">
        <v>15</v>
      </c>
      <c r="C329" s="93">
        <v>0</v>
      </c>
      <c r="D329" s="102">
        <v>0</v>
      </c>
      <c r="E329" s="55">
        <f>D329/C325</f>
        <v>0</v>
      </c>
      <c r="F329" s="156"/>
    </row>
    <row r="330" spans="2:6" ht="15" thickBot="1" x14ac:dyDescent="0.35">
      <c r="B330" s="56"/>
      <c r="C330" s="130">
        <v>0</v>
      </c>
      <c r="D330" s="103">
        <v>0</v>
      </c>
      <c r="E330" s="74">
        <v>0</v>
      </c>
      <c r="F330" s="156"/>
    </row>
    <row r="331" spans="2:6" ht="15.6" thickTop="1" thickBot="1" x14ac:dyDescent="0.35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5.6" thickTop="1" thickBot="1" x14ac:dyDescent="0.35">
      <c r="B332" s="97" t="s">
        <v>1057</v>
      </c>
      <c r="C332" s="98">
        <v>307</v>
      </c>
      <c r="D332" s="114">
        <v>0</v>
      </c>
      <c r="E332" s="104">
        <v>0</v>
      </c>
      <c r="F332" s="156"/>
    </row>
    <row r="333" spans="2:6" ht="15" thickBot="1" x14ac:dyDescent="0.35">
      <c r="B333" s="111" t="s">
        <v>1058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6" t="s">
        <v>907</v>
      </c>
      <c r="D336" s="107" t="s">
        <v>1457</v>
      </c>
      <c r="E336" s="108" t="s">
        <v>908</v>
      </c>
    </row>
    <row r="337" spans="2:6" ht="15" thickTop="1" x14ac:dyDescent="0.3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3">
      <c r="B339" s="53" t="s">
        <v>1238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3">
      <c r="B340" s="53" t="s">
        <v>1239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3">
      <c r="B341" s="53" t="s">
        <v>15</v>
      </c>
      <c r="C341" s="93">
        <v>0</v>
      </c>
      <c r="D341" s="102">
        <v>0</v>
      </c>
      <c r="E341" s="55">
        <f>D341/C337</f>
        <v>0</v>
      </c>
      <c r="F341" s="156"/>
    </row>
    <row r="342" spans="2:6" ht="15" thickBot="1" x14ac:dyDescent="0.35">
      <c r="B342" s="56"/>
      <c r="C342" s="130">
        <v>0</v>
      </c>
      <c r="D342" s="103">
        <v>0</v>
      </c>
      <c r="E342" s="74">
        <v>0</v>
      </c>
      <c r="F342" s="156"/>
    </row>
    <row r="343" spans="2:6" ht="15.6" thickTop="1" thickBot="1" x14ac:dyDescent="0.35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5.6" thickTop="1" thickBot="1" x14ac:dyDescent="0.35">
      <c r="B344" s="97" t="s">
        <v>1057</v>
      </c>
      <c r="C344" s="98">
        <v>307</v>
      </c>
      <c r="D344" s="114">
        <v>0</v>
      </c>
      <c r="E344" s="104">
        <v>0</v>
      </c>
      <c r="F344" s="156"/>
    </row>
    <row r="345" spans="2:6" ht="15" thickBot="1" x14ac:dyDescent="0.35">
      <c r="B345" s="111" t="s">
        <v>1058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" thickTop="1" x14ac:dyDescent="0.3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2025-10-13T15:00:43Z</cp:lastPrinted>
  <dcterms:created xsi:type="dcterms:W3CDTF">2022-01-21T13:32:57Z</dcterms:created>
  <dcterms:modified xsi:type="dcterms:W3CDTF">2026-03-18T20:05:41Z</dcterms:modified>
</cp:coreProperties>
</file>